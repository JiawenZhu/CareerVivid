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2ec94197e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Dashboard" sheetId="1" r:id="Rc73ef182ffcb4a8b"/>
    <x:sheet xmlns:r="http://schemas.openxmlformats.org/officeDocument/2006/relationships" name="Agency Pipeline" sheetId="2" r:id="R67f4c7badd3a4f9d"/>
    <x:sheet xmlns:r="http://schemas.openxmlformats.org/officeDocument/2006/relationships" name="Contacts Log" sheetId="3" r:id="Rfc11da66e90f43e9"/>
    <x:sheet xmlns:r="http://schemas.openxmlformats.org/officeDocument/2006/relationships" name="Pilot Outcomes" sheetId="4" r:id="Rdfa5c7ec82c04b78"/>
    <x:sheet xmlns:r="http://schemas.openxmlformats.org/officeDocument/2006/relationships" name="Deal Terms" sheetId="5" r:id="R96bb4f5f35fa4d71"/>
    <x:sheet xmlns:r="http://schemas.openxmlformats.org/officeDocument/2006/relationships" name="Data Lists" sheetId="6" r:id="R9013c920ee04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$#,##0"/>
  </x:numFmts>
  <x:fonts count="6">
    <x:font>
      <x:sz val="11"/>
      <x:name val="Carlito"/>
    </x:font>
    <x:font>
      <x:sz val="11"/>
      <x:color rgb="FF211B16"/>
      <x:name val="Carlito"/>
    </x:font>
    <x:font>
      <x:b/>
      <x:sz val="11"/>
      <x:color rgb="FFFFFFFF"/>
      <x:name val="Carlito"/>
    </x:font>
    <x:font>
      <x:b/>
      <x:i/>
      <x:sz val="11"/>
      <x:color rgb="FF665A4A"/>
      <x:name val="Carlito"/>
    </x:font>
    <x:font>
      <x:i/>
      <x:sz val="11"/>
      <x:color rgb="FF665A4A"/>
      <x:name val="Carlito"/>
    </x:font>
    <x:font>
      <x:b/>
      <x:sz val="11"/>
      <x:color rgb="FF211B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F5E"/>
      </x:patternFill>
    </x:fill>
    <x:fill>
      <x:patternFill patternType="solid">
        <x:fgColor rgb="FF211B16"/>
      </x:patternFill>
    </x:fill>
    <x:fill>
      <x:patternFill patternType="solid">
        <x:fgColor rgb="FFFFFAF1"/>
      </x:patternFill>
    </x:fill>
    <x:fill>
      <x:patternFill patternType="solid">
        <x:fgColor rgb="FFE8F0E6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147675b6840f0" /><Relationship Type="http://schemas.openxmlformats.org/officeDocument/2006/relationships/theme" Target="/xl/theme/theme1.xml" Id="R27c92014c9ff4176" /><Relationship Type="http://schemas.openxmlformats.org/officeDocument/2006/relationships/sharedStrings" Target="/xl/sharedStrings.xml" Id="R6ef46801da5b4720" /><Relationship Type="http://schemas.openxmlformats.org/officeDocument/2006/relationships/worksheet" Target="/xl/worksheets/sheet1.xml" Id="Rc73ef182ffcb4a8b" /><Relationship Type="http://schemas.openxmlformats.org/officeDocument/2006/relationships/worksheet" Target="/xl/worksheets/sheet2.xml" Id="R67f4c7badd3a4f9d" /><Relationship Type="http://schemas.openxmlformats.org/officeDocument/2006/relationships/worksheet" Target="/xl/worksheets/sheet3.xml" Id="Rfc11da66e90f43e9" /><Relationship Type="http://schemas.openxmlformats.org/officeDocument/2006/relationships/worksheet" Target="/xl/worksheets/sheet4.xml" Id="Rdfa5c7ec82c04b78" /><Relationship Type="http://schemas.openxmlformats.org/officeDocument/2006/relationships/worksheet" Target="/xl/worksheets/sheet5.xml" Id="R96bb4f5f35fa4d71" /><Relationship Type="http://schemas.openxmlformats.org/officeDocument/2006/relationships/worksheet" Target="/xl/worksheets/sheet6.xml" Id="R9013c920ee0448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042e4f045449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Agencies by Stage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'Pipeline Dashboard'!$D$5:$D$15</c:f>
              <c:strCache>
                <c:ptCount val="0"/>
              </c:strCache>
            </c:strRef>
          </c:cat>
          <c:val>
            <c:numRef>
              <c:f>'Pipeline Dashboard'!$E$5:$E$15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042e4f045449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encyPipelineTable" displayName="AgencyPipelineTable" ref="A1:V80" headerRowCount="1">
  <x:autoFilter ref="A1:V80"/>
  <x:tableColumns count="22">
    <x:tableColumn id="1" name="Agency ID"/>
    <x:tableColumn id="2" name="Agency Name"/>
    <x:tableColumn id="3" name="Branch / Market"/>
    <x:tableColumn id="4" name="Type"/>
    <x:tableColumn id="5" name="Contact Name"/>
    <x:tableColumn id="6" name="Contact Title"/>
    <x:tableColumn id="7" name="Email"/>
    <x:tableColumn id="8" name="Phone"/>
    <x:tableColumn id="9" name="Website / Source"/>
    <x:tableColumn id="10" name="Owner"/>
    <x:tableColumn id="11" name="Current Stage"/>
    <x:tableColumn id="12" name="Priority"/>
    <x:tableColumn id="13" name="Last Touch"/>
    <x:tableColumn id="14" name="Next Action"/>
    <x:tableColumn id="15" name="Next Follow-up"/>
    <x:tableColumn id="16" name="Pilot Interest"/>
    <x:tableColumn id="17" name="Candidate Volume / Month"/>
    <x:tableColumn id="18" name="Pilot Seats"/>
    <x:tableColumn id="19" name="Deal Status"/>
    <x:tableColumn id="20" name="Proposed Pilot Start"/>
    <x:tableColumn id="21" name="Pricing Idea"/>
    <x:tableColumn id="22" name="Notes"/>
  </x:tableColumns>
  <x:tableStyleInfo name="TableStyleMedium4" showRowStripes="1"/>
</x:table>
</file>

<file path=xl/tables/table2.xml><?xml version="1.0" encoding="utf-8"?>
<x:table xmlns:x="http://schemas.openxmlformats.org/spreadsheetml/2006/main" id="2" name="AgencyContactsTable" displayName="AgencyContactsTable" ref="A1:J100" headerRowCount="1">
  <x:autoFilter ref="A1:J100"/>
  <x:tableColumns count="10">
    <x:tableColumn id="1" name="Date"/>
    <x:tableColumn id="2" name="Agency ID"/>
    <x:tableColumn id="3" name="Agency"/>
    <x:tableColumn id="4" name="Contact Name"/>
    <x:tableColumn id="5" name="Channel"/>
    <x:tableColumn id="6" name="Direction"/>
    <x:tableColumn id="7" name="Summary"/>
    <x:tableColumn id="8" name="Outcome"/>
    <x:tableColumn id="9" name="Next Step"/>
    <x:tableColumn id="10" name="Follow-up Date"/>
  </x:tableColumns>
  <x:tableStyleInfo name="TableStyleMedium4" showRowStripes="1"/>
</x:table>
</file>

<file path=xl/tables/table3.xml><?xml version="1.0" encoding="utf-8"?>
<x:table xmlns:x="http://schemas.openxmlformats.org/spreadsheetml/2006/main" id="3" name="AgencyPilotOutcomesTable" displayName="AgencyPilotOutcomesTable" ref="A1:M60" headerRowCount="1">
  <x:autoFilter ref="A1:M60"/>
  <x:tableColumns count="13">
    <x:tableColumn id="1" name="Agency ID"/>
    <x:tableColumn id="2" name="Branch ID"/>
    <x:tableColumn id="3" name="Pilot Start"/>
    <x:tableColumn id="4" name="Pilot End"/>
    <x:tableColumn id="5" name="Invites"/>
    <x:tableColumn id="6" name="Started"/>
    <x:tableColumn id="7" name="Ready"/>
    <x:tableColumn id="8" name="Shared"/>
    <x:tableColumn id="9" name="Placements"/>
    <x:tableColumn id="10" name="Avg Score Lift"/>
    <x:tableColumn id="11" name="Est. Recruiter Hours Saved"/>
    <x:tableColumn id="12" name="Decision"/>
    <x:tableColumn id="13" name="Notes"/>
  </x:tableColumns>
  <x:tableStyleInfo name="TableStyleMedium4" showRowStripes="1"/>
</x:table>
</file>

<file path=xl/tables/table4.xml><?xml version="1.0" encoding="utf-8"?>
<x:table xmlns:x="http://schemas.openxmlformats.org/spreadsheetml/2006/main" id="4" name="AgencyDealTermsTable" displayName="AgencyDealTermsTable" ref="A1:J60" headerRowCount="1">
  <x:autoFilter ref="A1:J60"/>
  <x:tableColumns count="10">
    <x:tableColumn id="1" name="Agency ID"/>
    <x:tableColumn id="2" name="Plan"/>
    <x:tableColumn id="3" name="Trial Length"/>
    <x:tableColumn id="4" name="Monthly Price"/>
    <x:tableColumn id="5" name="Seats / Volume"/>
    <x:tableColumn id="6" name="Contract Status"/>
    <x:tableColumn id="7" name="Signed Date"/>
    <x:tableColumn id="8" name="Renewal Date"/>
    <x:tableColumn id="9" name="Billing Owner"/>
    <x:tableColumn id="10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f2cd47995f42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836b74d84742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a7ed8ba43a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56660be28749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587cf0ebba4b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3.329999923706055" hidden="0" customWidth="1"/>
    <x:col min="4" max="4" width="16.670000076293945" hidden="0" customWidth="1"/>
    <x:col min="5" max="5" width="8.890000343322754" hidden="0" customWidth="1"/>
    <x:col min="6" max="6" width="20" hidden="0" customWidth="1"/>
    <x:col min="7" max="7" width="12.220000267028809" hidden="0" customWidth="1"/>
    <x:col min="8" max="8" width="12.220000267028809" hidden="0" customWidth="1"/>
  </x:cols>
  <x:sheetData>
    <x:row r="1" ht="27" customHeight="1">
      <x:c r="A1" s="12" t="str">
        <x:v>Track agency outreach, pilot progress, deal status, and follow-up discipline.</x:v>
      </x:c>
      <x:c r="B1" s="12" t="str">
        <x:v>Track agency outreach, pilot progress, deal status, and follow-up discipline.</x:v>
      </x:c>
      <x:c r="C1" s="12" t="str">
        <x:v>Track agency outreach, pilot progress, deal status, and follow-up discipline.</x:v>
      </x:c>
      <x:c r="D1" s="12" t="str">
        <x:v>Track agency outreach, pilot progress, deal status, and follow-up discipline.</x:v>
      </x:c>
      <x:c r="E1" s="12" t="str">
        <x:v>Track agency outreach, pilot progress, deal status, and follow-up discipline.</x:v>
      </x:c>
      <x:c r="F1" s="12" t="str">
        <x:v>Track agency outreach, pilot progress, deal status, and follow-up discipline.</x:v>
      </x:c>
      <x:c r="G1" s="12" t="str">
        <x:v>Track agency outreach, pilot progress, deal status, and follow-up discipline.</x:v>
      </x:c>
      <x:c r="H1" s="12" t="str">
        <x:v>Track agency outreach, pilot progress, deal status, and follow-up discipline.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7" customHeight="1">
      <x:c r="A2" s="14" t="str">
        <x:v>Track agency outreach, pilot progress, deal status, and follow-up discipline.</x:v>
      </x:c>
      <x:c r="B2" s="14" t="str">
        <x:v>Track agency outreach, pilot progress, deal status, and follow-up discipline.</x:v>
      </x:c>
      <x:c r="C2" s="14" t="str">
        <x:v>Track agency outreach, pilot progress, deal status, and follow-up discipline.</x:v>
      </x:c>
      <x:c r="D2" s="14" t="str">
        <x:v>Track agency outreach, pilot progress, deal status, and follow-up discipline.</x:v>
      </x:c>
      <x:c r="E2" s="14" t="str">
        <x:v>Track agency outreach, pilot progress, deal status, and follow-up discipline.</x:v>
      </x:c>
      <x:c r="F2" s="14" t="str">
        <x:v>Track agency outreach, pilot progress, deal status, and follow-up discipline.</x:v>
      </x:c>
      <x:c r="G2" s="14" t="str">
        <x:v>Track agency outreach, pilot progress, deal status, and follow-up discipline.</x:v>
      </x:c>
      <x:c r="H2" s="14" t="str">
        <x:v>Track agency outreach, pilot progress, deal status, and follow-up discipline.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 t="str">
        <x:v>Metric</x:v>
      </x:c>
      <x:c r="B4" s="4" t="str">
        <x:v>Value</x:v>
      </x:c>
      <x:c r="C4" s="1"/>
      <x:c r="D4" s="4" t="str">
        <x:v>Stage</x:v>
      </x:c>
      <x:c r="E4" s="4" t="str">
        <x:v>Count</x:v>
      </x:c>
      <x:c r="F4" s="4" t="str">
        <x:v>Action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Total agencies tracked</x:v>
      </x:c>
      <x:c r="B5" s="17" t="n">
        <x:f>COUNTA('Agency Pipeline'!B2:B80)</x:f>
        <x:v>7</x:v>
      </x:c>
      <x:c r="C5" s="1"/>
      <x:c r="D5" s="1" t="str">
        <x:v>Target</x:v>
      </x:c>
      <x:c r="E5" s="1" t="n">
        <x:f>COUNTIF('Agency Pipeline'!K2:K80,D5)</x:f>
        <x:v>5</x:v>
      </x:c>
      <x:c r="F5" s="1" t="str">
        <x:v>Research contact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High priority agencies</x:v>
      </x:c>
      <x:c r="B6" s="17" t="n">
        <x:f>COUNTIFS('Agency Pipeline'!B2:B80,"&lt;&gt;",'Agency Pipeline'!L2:L80,"High")</x:f>
        <x:v>2</x:v>
      </x:c>
      <x:c r="C6" s="1"/>
      <x:c r="D6" s="1" t="str">
        <x:v>Researching</x:v>
      </x:c>
      <x:c r="E6" s="1" t="n">
        <x:f>COUNTIF('Agency Pipeline'!K3:K81,D6)</x:f>
        <x:v>2</x:v>
      </x:c>
      <x:c r="F6" s="1" t="str">
        <x:v>Find decision maker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Demo or later</x:v>
      </x:c>
      <x:c r="B7" s="17" t="n">
        <x:f>SUM(COUNTIFS('Agency Pipeline'!B2:B80,"&lt;&gt;",'Agency Pipeline'!K2:K80,{"Demo Scheduled","Demo Completed","Pilot Proposed","Pilot Active","Negotiating","Signed"}))</x:f>
        <x:v>0</x:v>
      </x:c>
      <x:c r="C7" s="1"/>
      <x:c r="D7" s="1" t="str">
        <x:v>Contacted</x:v>
      </x:c>
      <x:c r="E7" s="1" t="n">
        <x:f>COUNTIF('Agency Pipeline'!K4:K82,D7)</x:f>
        <x:v>0</x:v>
      </x:c>
      <x:c r="F7" s="1" t="str">
        <x:v>Follow up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Active pilots</x:v>
      </x:c>
      <x:c r="B8" s="17" t="n">
        <x:f>COUNTIFS('Agency Pipeline'!B2:B80,"&lt;&gt;",'Agency Pipeline'!K2:K80,"Pilot Active")</x:f>
        <x:v>0</x:v>
      </x:c>
      <x:c r="C8" s="1"/>
      <x:c r="D8" s="1" t="str">
        <x:v>Demo Scheduled</x:v>
      </x:c>
      <x:c r="E8" s="1" t="n">
        <x:f>COUNTIF('Agency Pipeline'!K5:K83,D8)</x:f>
        <x:v>0</x:v>
      </x:c>
      <x:c r="F8" s="1" t="str">
        <x:v>Prepare demo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Signed deals</x:v>
      </x:c>
      <x:c r="B9" s="17" t="n">
        <x:f>COUNTIFS('Agency Pipeline'!B2:B80,"&lt;&gt;",'Agency Pipeline'!S2:S80,"Signed")</x:f>
        <x:v>0</x:v>
      </x:c>
      <x:c r="C9" s="1"/>
      <x:c r="D9" s="1" t="str">
        <x:v>Demo Completed</x:v>
      </x:c>
      <x:c r="E9" s="1" t="n">
        <x:f>COUNTIF('Agency Pipeline'!K6:K84,D9)</x:f>
        <x:v>0</x:v>
      </x:c>
      <x:c r="F9" s="1" t="str">
        <x:v>Send recap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Follow-ups due in 7 days</x:v>
      </x:c>
      <x:c r="B10" s="17" t="str">
        <x:f>TEXT(COUNTIFS('Agency Pipeline'!B2:B80,"&lt;&gt;",'Agency Pipeline'!O2:O80,"&lt;="&amp;TODAY()+7,'Agency Pipeline'!O2:O80,"&gt;="&amp;TODAY()),"0")</x:f>
        <x:v>0</x:v>
      </x:c>
      <x:c r="C10" s="1"/>
      <x:c r="D10" s="1" t="str">
        <x:v>Pilot Proposed</x:v>
      </x:c>
      <x:c r="E10" s="1" t="n">
        <x:f>COUNTIF('Agency Pipeline'!K7:K85,D10)</x:f>
        <x:v>0</x:v>
      </x:c>
      <x:c r="F10" s="1" t="str">
        <x:v>Confirm pilot terms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Estimated monthly candidate volume</x:v>
      </x:c>
      <x:c r="B11" s="17" t="n">
        <x:f>SUM('Agency Pipeline'!Q2:Q80)</x:f>
        <x:v>920</x:v>
      </x:c>
      <x:c r="C11" s="1"/>
      <x:c r="D11" s="1" t="str">
        <x:v>Pilot Active</x:v>
      </x:c>
      <x:c r="E11" s="1" t="n">
        <x:f>COUNTIF('Agency Pipeline'!K8:K86,D11)</x:f>
        <x:v>0</x:v>
      </x:c>
      <x:c r="F11" s="1" t="str">
        <x:v>Track outcomes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 t="str">
        <x:v>Negotiating</x:v>
      </x:c>
      <x:c r="E12" s="1" t="n">
        <x:f>COUNTIF('Agency Pipeline'!K9:K87,D12)</x:f>
        <x:v>0</x:v>
      </x:c>
      <x:c r="F12" s="1" t="str">
        <x:v>Close terms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 t="str">
        <x:v>Signed</x:v>
      </x:c>
      <x:c r="E13" s="1" t="n">
        <x:f>COUNTIF('Agency Pipeline'!K10:K88,D13)</x:f>
        <x:v>0</x:v>
      </x:c>
      <x:c r="F13" s="1" t="str">
        <x:v>Onboard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 t="str">
        <x:v>Paused</x:v>
      </x:c>
      <x:c r="E14" s="1" t="n">
        <x:f>COUNTIF('Agency Pipeline'!K11:K89,D14)</x:f>
        <x:v>0</x:v>
      </x:c>
      <x:c r="F14" s="1" t="str">
        <x:v>Revisit later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 t="str">
        <x:v>Closed Lost</x:v>
      </x:c>
      <x:c r="E15" s="1" t="n">
        <x:f>COUNTIF('Agency Pipeline'!K12:K90,D15)</x:f>
        <x:v>0</x:v>
      </x:c>
      <x:c r="F15" s="1" t="str">
        <x:v>Record reason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1:H2"/>
  </x:mergeCells>
  <x:pageMargins left="0.7" right="0.7" top="0.75" bottom="0.75" header="0.3" footer="0.3"/>
  <x:drawing xmlns:r="http://schemas.openxmlformats.org/officeDocument/2006/relationships" r:id="R19f2cd47995f42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18.889999389648438" hidden="0" customWidth="1"/>
    <x:col min="4" max="4" width="15.5600004196167" hidden="0" customWidth="1"/>
    <x:col min="5" max="5" width="16.670000076293945" hidden="0" customWidth="1"/>
    <x:col min="6" max="6" width="16.670000076293945" hidden="0" customWidth="1"/>
    <x:col min="7" max="7" width="21.110000610351562" hidden="0" customWidth="1"/>
    <x:col min="8" max="8" width="13.329999923706055" hidden="0" customWidth="1"/>
    <x:col min="9" max="9" width="21.110000610351562" hidden="0" customWidth="1"/>
    <x:col min="10" max="10" width="10" hidden="0" customWidth="1"/>
    <x:col min="11" max="11" width="15.5600004196167" hidden="0" customWidth="1"/>
    <x:col min="12" max="12" width="9.4399995803833" hidden="0" customWidth="1"/>
    <x:col min="13" max="13" width="12.220000267028809" hidden="0" customWidth="1"/>
    <x:col min="14" max="14" width="30" hidden="0" customWidth="1"/>
    <x:col min="15" max="15" width="13.329999923706055" hidden="0" customWidth="1"/>
    <x:col min="16" max="16" width="12.779999732971191" hidden="0" customWidth="1"/>
    <x:col min="17" max="17" width="12.779999732971191" hidden="0" customWidth="1"/>
    <x:col min="18" max="18" width="10" hidden="0" customWidth="1"/>
    <x:col min="19" max="19" width="13.890000343322754" hidden="0" customWidth="1"/>
    <x:col min="20" max="20" width="13.890000343322754" hidden="0" customWidth="1"/>
    <x:col min="21" max="21" width="20" hidden="0" customWidth="1"/>
    <x:col min="22" max="22" width="28.889999389648438" hidden="0" customWidth="1"/>
  </x:cols>
  <x:sheetData>
    <x:row r="1">
      <x:c r="A1" s="4" t="str">
        <x:v>Agency ID</x:v>
      </x:c>
      <x:c r="B1" s="4" t="str">
        <x:v>Agency Name</x:v>
      </x:c>
      <x:c r="C1" s="4" t="str">
        <x:v>Branch / Market</x:v>
      </x:c>
      <x:c r="D1" s="4" t="str">
        <x:v>Type</x:v>
      </x:c>
      <x:c r="E1" s="4" t="str">
        <x:v>Contact Name</x:v>
      </x:c>
      <x:c r="F1" s="4" t="str">
        <x:v>Contact Title</x:v>
      </x:c>
      <x:c r="G1" s="4" t="str">
        <x:v>Email</x:v>
      </x:c>
      <x:c r="H1" s="4" t="str">
        <x:v>Phone</x:v>
      </x:c>
      <x:c r="I1" s="4" t="str">
        <x:v>Website / Source</x:v>
      </x:c>
      <x:c r="J1" s="4" t="str">
        <x:v>Owner</x:v>
      </x:c>
      <x:c r="K1" s="4" t="str">
        <x:v>Current Stage</x:v>
      </x:c>
      <x:c r="L1" s="4" t="str">
        <x:v>Priority</x:v>
      </x:c>
      <x:c r="M1" s="4" t="str">
        <x:v>Last Touch</x:v>
      </x:c>
      <x:c r="N1" s="4" t="str">
        <x:v>Next Action</x:v>
      </x:c>
      <x:c r="O1" s="4" t="str">
        <x:v>Next Follow-up</x:v>
      </x:c>
      <x:c r="P1" s="4" t="str">
        <x:v>Pilot Interest</x:v>
      </x:c>
      <x:c r="Q1" s="4" t="str">
        <x:v>Candidate Volume / Month</x:v>
      </x:c>
      <x:c r="R1" s="4" t="str">
        <x:v>Pilot Seats</x:v>
      </x:c>
      <x:c r="S1" s="4" t="str">
        <x:v>Deal Status</x:v>
      </x:c>
      <x:c r="T1" s="4" t="str">
        <x:v>Proposed Pilot Start</x:v>
      </x:c>
      <x:c r="U1" s="4" t="str">
        <x:v>Pricing Idea</x:v>
      </x:c>
      <x:c r="V1" s="4" t="str">
        <x:v>Notes</x:v>
      </x:c>
      <x:c r="W1" s="1"/>
      <x:c r="X1" s="1"/>
      <x:c r="Y1" s="1"/>
      <x:c r="Z1" s="1"/>
    </x:row>
    <x:row r="2">
      <x:c r="A2" s="5" t="str">
        <x:v>AGY-001</x:v>
      </x:c>
      <x:c r="B2" s="5" t="str">
        <x:v>Spherion Staffing &amp; Recruiting</x:v>
      </x:c>
      <x:c r="C2" s="5" t="str">
        <x:v>Savoy / Champaign, IL</x:v>
      </x:c>
      <x:c r="D2" s="5" t="str">
        <x:v>Staffing Agency</x:v>
      </x:c>
      <x:c r="E2" s="5" t="str"/>
      <x:c r="F2" s="5" t="str">
        <x:v>Branch Manager</x:v>
      </x:c>
      <x:c r="G2" s="5" t="str"/>
      <x:c r="H2" s="5" t="str"/>
      <x:c r="I2" s="5" t="str">
        <x:v>Google Maps / website</x:v>
      </x:c>
      <x:c r="J2" s="5" t="str">
        <x:v>Evan</x:v>
      </x:c>
      <x:c r="K2" s="5" t="str">
        <x:v>Target</x:v>
      </x:c>
      <x:c r="L2" s="5" t="str">
        <x:v>High</x:v>
      </x:c>
      <x:c r="M2" s="6" t="str"/>
      <x:c r="N2" s="5" t="str">
        <x:v>Find branch manager name and send pilot email</x:v>
      </x:c>
      <x:c r="O2" s="6" t="str"/>
      <x:c r="P2" s="5" t="str">
        <x:v>Unknown</x:v>
      </x:c>
      <x:c r="Q2" s="5" t="n">
        <x:v>180</x:v>
      </x:c>
      <x:c r="R2" s="5" t="n">
        <x:v>20</x:v>
      </x:c>
      <x:c r="S2" s="5" t="str">
        <x:v>No Deal Yet</x:v>
      </x:c>
      <x:c r="T2" s="6" t="str"/>
      <x:c r="U2" s="5" t="str">
        <x:v>$149-$299 pilot or branch license</x:v>
      </x:c>
      <x:c r="V2" s="5" t="str">
        <x:v>Local first-priority demo target</x:v>
      </x:c>
      <x:c r="W2" s="1"/>
      <x:c r="X2" s="1"/>
      <x:c r="Y2" s="1"/>
      <x:c r="Z2" s="1"/>
    </x:row>
    <x:row r="3">
      <x:c r="A3" s="5" t="str">
        <x:v>AGY-002</x:v>
      </x:c>
      <x:c r="B3" s="5" t="str">
        <x:v>Express Employment Professionals</x:v>
      </x:c>
      <x:c r="C3" s="5" t="str">
        <x:v>Champaign, IL</x:v>
      </x:c>
      <x:c r="D3" s="5" t="str">
        <x:v>Staffing Agency</x:v>
      </x:c>
      <x:c r="E3" s="5" t="str"/>
      <x:c r="F3" s="5" t="str">
        <x:v>Owner / Branch Manager</x:v>
      </x:c>
      <x:c r="G3" s="5" t="str"/>
      <x:c r="H3" s="5" t="str"/>
      <x:c r="I3" s="5" t="str">
        <x:v>Website</x:v>
      </x:c>
      <x:c r="J3" s="5" t="str">
        <x:v>Evan</x:v>
      </x:c>
      <x:c r="K3" s="5" t="str">
        <x:v>Researching</x:v>
      </x:c>
      <x:c r="L3" s="5" t="str">
        <x:v>High</x:v>
      </x:c>
      <x:c r="M3" s="6" t="str"/>
      <x:c r="N3" s="5" t="str">
        <x:v>Confirm local contact and hiring volume</x:v>
      </x:c>
      <x:c r="O3" s="6" t="str"/>
      <x:c r="P3" s="5" t="str">
        <x:v>Unknown</x:v>
      </x:c>
      <x:c r="Q3" s="5" t="n">
        <x:v>150</x:v>
      </x:c>
      <x:c r="R3" s="5" t="n">
        <x:v>20</x:v>
      </x:c>
      <x:c r="S3" s="5" t="str">
        <x:v>No Deal Yet</x:v>
      </x:c>
      <x:c r="T3" s="6" t="str"/>
      <x:c r="U3" s="5" t="str">
        <x:v>$149-$299 pilot</x:v>
      </x:c>
      <x:c r="V3" s="5" t="str">
        <x:v>Good fit for walk-in applicant preparation</x:v>
      </x:c>
      <x:c r="W3" s="1"/>
      <x:c r="X3" s="1"/>
      <x:c r="Y3" s="1"/>
      <x:c r="Z3" s="1"/>
    </x:row>
    <x:row r="4">
      <x:c r="A4" s="5" t="str">
        <x:v>AGY-003</x:v>
      </x:c>
      <x:c r="B4" s="5" t="str">
        <x:v>Manpower</x:v>
      </x:c>
      <x:c r="C4" s="5" t="str">
        <x:v>Champaign / Central IL</x:v>
      </x:c>
      <x:c r="D4" s="5" t="str">
        <x:v>Staffing Agency</x:v>
      </x:c>
      <x:c r="E4" s="5" t="str"/>
      <x:c r="F4" s="5" t="str">
        <x:v>Branch Manager</x:v>
      </x:c>
      <x:c r="G4" s="5" t="str"/>
      <x:c r="H4" s="5" t="str"/>
      <x:c r="I4" s="5" t="str">
        <x:v>Website</x:v>
      </x:c>
      <x:c r="J4" s="5" t="str">
        <x:v>Evan</x:v>
      </x:c>
      <x:c r="K4" s="5" t="str">
        <x:v>Target</x:v>
      </x:c>
      <x:c r="L4" s="5" t="str">
        <x:v>Medium</x:v>
      </x:c>
      <x:c r="M4" s="6" t="str"/>
      <x:c r="N4" s="5" t="str">
        <x:v>Research local branch contact</x:v>
      </x:c>
      <x:c r="O4" s="6" t="str"/>
      <x:c r="P4" s="5" t="str">
        <x:v>Unknown</x:v>
      </x:c>
      <x:c r="Q4" s="5" t="n">
        <x:v>150</x:v>
      </x:c>
      <x:c r="R4" s="5" t="n">
        <x:v>20</x:v>
      </x:c>
      <x:c r="S4" s="5" t="str">
        <x:v>No Deal Yet</x:v>
      </x:c>
      <x:c r="T4" s="6" t="str"/>
      <x:c r="U4" s="5" t="str">
        <x:v>$299 branch pilot</x:v>
      </x:c>
      <x:c r="V4" s="5" t="str">
        <x:v>May require corporate approval</x:v>
      </x:c>
      <x:c r="W4" s="1"/>
      <x:c r="X4" s="1"/>
      <x:c r="Y4" s="1"/>
      <x:c r="Z4" s="1"/>
    </x:row>
    <x:row r="5">
      <x:c r="A5" s="5" t="str">
        <x:v>AGY-004</x:v>
      </x:c>
      <x:c r="B5" s="5" t="str">
        <x:v>Kelly Services</x:v>
      </x:c>
      <x:c r="C5" s="5" t="str">
        <x:v>Champaign / Remote</x:v>
      </x:c>
      <x:c r="D5" s="5" t="str">
        <x:v>Staffing Agency</x:v>
      </x:c>
      <x:c r="E5" s="5" t="str"/>
      <x:c r="F5" s="5" t="str">
        <x:v>Recruiting Manager</x:v>
      </x:c>
      <x:c r="G5" s="5" t="str"/>
      <x:c r="H5" s="5" t="str"/>
      <x:c r="I5" s="5" t="str">
        <x:v>Website</x:v>
      </x:c>
      <x:c r="J5" s="5" t="str">
        <x:v>Evan</x:v>
      </x:c>
      <x:c r="K5" s="5" t="str">
        <x:v>Target</x:v>
      </x:c>
      <x:c r="L5" s="5" t="str">
        <x:v>Medium</x:v>
      </x:c>
      <x:c r="M5" s="6" t="str"/>
      <x:c r="N5" s="5" t="str">
        <x:v>Research regional contact</x:v>
      </x:c>
      <x:c r="O5" s="6" t="str"/>
      <x:c r="P5" s="5" t="str">
        <x:v>Unknown</x:v>
      </x:c>
      <x:c r="Q5" s="5" t="n">
        <x:v>120</x:v>
      </x:c>
      <x:c r="R5" s="5" t="n">
        <x:v>15</x:v>
      </x:c>
      <x:c r="S5" s="5" t="str">
        <x:v>No Deal Yet</x:v>
      </x:c>
      <x:c r="T5" s="6" t="str"/>
      <x:c r="U5" s="5" t="str">
        <x:v>$299 branch pilot</x:v>
      </x:c>
      <x:c r="V5" s="5" t="str">
        <x:v>Potential larger org sales cycle</x:v>
      </x:c>
      <x:c r="W5" s="1"/>
      <x:c r="X5" s="1"/>
      <x:c r="Y5" s="1"/>
      <x:c r="Z5" s="1"/>
    </x:row>
    <x:row r="6">
      <x:c r="A6" s="5" t="str">
        <x:v>AGY-005</x:v>
      </x:c>
      <x:c r="B6" s="5" t="str">
        <x:v>Adecco</x:v>
      </x:c>
      <x:c r="C6" s="5" t="str">
        <x:v>Champaign / Central IL</x:v>
      </x:c>
      <x:c r="D6" s="5" t="str">
        <x:v>Staffing Agency</x:v>
      </x:c>
      <x:c r="E6" s="5" t="str"/>
      <x:c r="F6" s="5" t="str">
        <x:v>Branch Manager</x:v>
      </x:c>
      <x:c r="G6" s="5" t="str"/>
      <x:c r="H6" s="5" t="str"/>
      <x:c r="I6" s="5" t="str">
        <x:v>Website</x:v>
      </x:c>
      <x:c r="J6" s="5" t="str">
        <x:v>Evan</x:v>
      </x:c>
      <x:c r="K6" s="5" t="str">
        <x:v>Target</x:v>
      </x:c>
      <x:c r="L6" s="5" t="str">
        <x:v>Medium</x:v>
      </x:c>
      <x:c r="M6" s="6" t="str"/>
      <x:c r="N6" s="5" t="str">
        <x:v>Research if local branch active</x:v>
      </x:c>
      <x:c r="O6" s="6" t="str"/>
      <x:c r="P6" s="5" t="str">
        <x:v>Unknown</x:v>
      </x:c>
      <x:c r="Q6" s="5" t="n">
        <x:v>120</x:v>
      </x:c>
      <x:c r="R6" s="5" t="n">
        <x:v>15</x:v>
      </x:c>
      <x:c r="S6" s="5" t="str">
        <x:v>No Deal Yet</x:v>
      </x:c>
      <x:c r="T6" s="6" t="str"/>
      <x:c r="U6" s="5" t="str">
        <x:v>$299 branch pilot</x:v>
      </x:c>
      <x:c r="V6" s="5" t="str">
        <x:v>Validate local presence</x:v>
      </x:c>
      <x:c r="W6" s="1"/>
      <x:c r="X6" s="1"/>
      <x:c r="Y6" s="1"/>
      <x:c r="Z6" s="1"/>
    </x:row>
    <x:row r="7">
      <x:c r="A7" s="5" t="str">
        <x:v>AGY-006</x:v>
      </x:c>
      <x:c r="B7" s="5" t="str">
        <x:v>Robert Half</x:v>
      </x:c>
      <x:c r="C7" s="5" t="str">
        <x:v>Central IL / Remote</x:v>
      </x:c>
      <x:c r="D7" s="5" t="str">
        <x:v>Recruiting Firm</x:v>
      </x:c>
      <x:c r="E7" s="5" t="str"/>
      <x:c r="F7" s="5" t="str">
        <x:v>Recruiting Manager</x:v>
      </x:c>
      <x:c r="G7" s="5" t="str"/>
      <x:c r="H7" s="5" t="str"/>
      <x:c r="I7" s="5" t="str">
        <x:v>Website</x:v>
      </x:c>
      <x:c r="J7" s="5" t="str">
        <x:v>Evan</x:v>
      </x:c>
      <x:c r="K7" s="5" t="str">
        <x:v>Target</x:v>
      </x:c>
      <x:c r="L7" s="5" t="str">
        <x:v>Low</x:v>
      </x:c>
      <x:c r="M7" s="6" t="str"/>
      <x:c r="N7" s="5" t="str">
        <x:v>Decide whether to pursue after local agencies</x:v>
      </x:c>
      <x:c r="O7" s="6" t="str"/>
      <x:c r="P7" s="5" t="str">
        <x:v>Unknown</x:v>
      </x:c>
      <x:c r="Q7" s="5" t="n">
        <x:v>100</x:v>
      </x:c>
      <x:c r="R7" s="5" t="n">
        <x:v>10</x:v>
      </x:c>
      <x:c r="S7" s="5" t="str">
        <x:v>No Deal Yet</x:v>
      </x:c>
      <x:c r="T7" s="6" t="str"/>
      <x:c r="U7" s="5" t="str">
        <x:v>Branch license</x:v>
      </x:c>
      <x:c r="V7" s="5" t="str">
        <x:v>More white-collar focus</x:v>
      </x:c>
      <x:c r="W7" s="1"/>
      <x:c r="X7" s="1"/>
      <x:c r="Y7" s="1"/>
      <x:c r="Z7" s="1"/>
    </x:row>
    <x:row r="8">
      <x:c r="A8" s="5" t="str">
        <x:v>AGY-007</x:v>
      </x:c>
      <x:c r="B8" s="5" t="str">
        <x:v>Illinois Workforce / Job Center Partner</x:v>
      </x:c>
      <x:c r="C8" s="5" t="str">
        <x:v>Champaign County</x:v>
      </x:c>
      <x:c r="D8" s="5" t="str">
        <x:v>Workforce Partner</x:v>
      </x:c>
      <x:c r="E8" s="5" t="str"/>
      <x:c r="F8" s="5" t="str">
        <x:v>Program Manager</x:v>
      </x:c>
      <x:c r="G8" s="5" t="str"/>
      <x:c r="H8" s="5" t="str"/>
      <x:c r="I8" s="5" t="str">
        <x:v>Website</x:v>
      </x:c>
      <x:c r="J8" s="5" t="str">
        <x:v>Evan</x:v>
      </x:c>
      <x:c r="K8" s="5" t="str">
        <x:v>Researching</x:v>
      </x:c>
      <x:c r="L8" s="5" t="str">
        <x:v>Medium</x:v>
      </x:c>
      <x:c r="M8" s="6" t="str"/>
      <x:c r="N8" s="5" t="str">
        <x:v>Evaluate non-agency partnership fit</x:v>
      </x:c>
      <x:c r="O8" s="6" t="str"/>
      <x:c r="P8" s="5" t="str">
        <x:v>Unknown</x:v>
      </x:c>
      <x:c r="Q8" s="5" t="n">
        <x:v>100</x:v>
      </x:c>
      <x:c r="R8" s="5" t="n">
        <x:v>20</x:v>
      </x:c>
      <x:c r="S8" s="5" t="str">
        <x:v>No Deal Yet</x:v>
      </x:c>
      <x:c r="T8" s="6" t="str"/>
      <x:c r="U8" s="5" t="str">
        <x:v>Pilot / grant-friendly</x:v>
      </x:c>
      <x:c r="V8" s="5" t="str">
        <x:v>May be useful for community validation</x:v>
      </x:c>
      <x:c r="W8" s="1"/>
      <x:c r="X8" s="1"/>
      <x:c r="Y8" s="1"/>
      <x:c r="Z8" s="1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6"/>
      <x:c r="N9" s="5"/>
      <x:c r="O9" s="6"/>
      <x:c r="P9" s="5"/>
      <x:c r="Q9" s="5"/>
      <x:c r="R9" s="5"/>
      <x:c r="S9" s="5"/>
      <x:c r="T9" s="6"/>
      <x:c r="U9" s="5"/>
      <x:c r="V9" s="5"/>
      <x:c r="W9" s="1"/>
      <x:c r="X9" s="1"/>
      <x:c r="Y9" s="1"/>
      <x:c r="Z9" s="1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6"/>
      <x:c r="N10" s="5"/>
      <x:c r="O10" s="6"/>
      <x:c r="P10" s="5"/>
      <x:c r="Q10" s="5"/>
      <x:c r="R10" s="5"/>
      <x:c r="S10" s="5"/>
      <x:c r="T10" s="6"/>
      <x:c r="U10" s="5"/>
      <x:c r="V10" s="5"/>
      <x:c r="W10" s="1"/>
      <x:c r="X10" s="1"/>
      <x:c r="Y10" s="1"/>
      <x:c r="Z10" s="1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6"/>
      <x:c r="N11" s="5"/>
      <x:c r="O11" s="6"/>
      <x:c r="P11" s="5"/>
      <x:c r="Q11" s="5"/>
      <x:c r="R11" s="5"/>
      <x:c r="S11" s="5"/>
      <x:c r="T11" s="6"/>
      <x:c r="U11" s="5"/>
      <x:c r="V11" s="5"/>
      <x:c r="W11" s="1"/>
      <x:c r="X11" s="1"/>
      <x:c r="Y11" s="1"/>
      <x:c r="Z11" s="1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6"/>
      <x:c r="N12" s="5"/>
      <x:c r="O12" s="6"/>
      <x:c r="P12" s="5"/>
      <x:c r="Q12" s="5"/>
      <x:c r="R12" s="5"/>
      <x:c r="S12" s="5"/>
      <x:c r="T12" s="6"/>
      <x:c r="U12" s="5"/>
      <x:c r="V12" s="5"/>
      <x:c r="W12" s="1"/>
      <x:c r="X12" s="1"/>
      <x:c r="Y12" s="1"/>
      <x:c r="Z12" s="1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6"/>
      <x:c r="N13" s="5"/>
      <x:c r="O13" s="6"/>
      <x:c r="P13" s="5"/>
      <x:c r="Q13" s="5"/>
      <x:c r="R13" s="5"/>
      <x:c r="S13" s="5"/>
      <x:c r="T13" s="6"/>
      <x:c r="U13" s="5"/>
      <x:c r="V13" s="5"/>
      <x:c r="W13" s="1"/>
      <x:c r="X13" s="1"/>
      <x:c r="Y13" s="1"/>
      <x:c r="Z13" s="1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6"/>
      <x:c r="N14" s="5"/>
      <x:c r="O14" s="6"/>
      <x:c r="P14" s="5"/>
      <x:c r="Q14" s="5"/>
      <x:c r="R14" s="5"/>
      <x:c r="S14" s="5"/>
      <x:c r="T14" s="6"/>
      <x:c r="U14" s="5"/>
      <x:c r="V14" s="5"/>
      <x:c r="W14" s="1"/>
      <x:c r="X14" s="1"/>
      <x:c r="Y14" s="1"/>
      <x:c r="Z14" s="1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6"/>
      <x:c r="N15" s="5"/>
      <x:c r="O15" s="6"/>
      <x:c r="P15" s="5"/>
      <x:c r="Q15" s="5"/>
      <x:c r="R15" s="5"/>
      <x:c r="S15" s="5"/>
      <x:c r="T15" s="6"/>
      <x:c r="U15" s="5"/>
      <x:c r="V15" s="5"/>
      <x:c r="W15" s="1"/>
      <x:c r="X15" s="1"/>
      <x:c r="Y15" s="1"/>
      <x:c r="Z15" s="1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6"/>
      <x:c r="N16" s="5"/>
      <x:c r="O16" s="6"/>
      <x:c r="P16" s="5"/>
      <x:c r="Q16" s="5"/>
      <x:c r="R16" s="5"/>
      <x:c r="S16" s="5"/>
      <x:c r="T16" s="6"/>
      <x:c r="U16" s="5"/>
      <x:c r="V16" s="5"/>
      <x:c r="W16" s="1"/>
      <x:c r="X16" s="1"/>
      <x:c r="Y16" s="1"/>
      <x:c r="Z16" s="1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6"/>
      <x:c r="N17" s="5"/>
      <x:c r="O17" s="6"/>
      <x:c r="P17" s="5"/>
      <x:c r="Q17" s="5"/>
      <x:c r="R17" s="5"/>
      <x:c r="S17" s="5"/>
      <x:c r="T17" s="6"/>
      <x:c r="U17" s="5"/>
      <x:c r="V17" s="5"/>
      <x:c r="W17" s="1"/>
      <x:c r="X17" s="1"/>
      <x:c r="Y17" s="1"/>
      <x:c r="Z17" s="1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6"/>
      <x:c r="N18" s="5"/>
      <x:c r="O18" s="6"/>
      <x:c r="P18" s="5"/>
      <x:c r="Q18" s="5"/>
      <x:c r="R18" s="5"/>
      <x:c r="S18" s="5"/>
      <x:c r="T18" s="6"/>
      <x:c r="U18" s="5"/>
      <x:c r="V18" s="5"/>
      <x:c r="W18" s="1"/>
      <x:c r="X18" s="1"/>
      <x:c r="Y18" s="1"/>
      <x:c r="Z18" s="1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6"/>
      <x:c r="N19" s="5"/>
      <x:c r="O19" s="6"/>
      <x:c r="P19" s="5"/>
      <x:c r="Q19" s="5"/>
      <x:c r="R19" s="5"/>
      <x:c r="S19" s="5"/>
      <x:c r="T19" s="6"/>
      <x:c r="U19" s="5"/>
      <x:c r="V19" s="5"/>
      <x:c r="W19" s="1"/>
      <x:c r="X19" s="1"/>
      <x:c r="Y19" s="1"/>
      <x:c r="Z19" s="1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6"/>
      <x:c r="N20" s="5"/>
      <x:c r="O20" s="6"/>
      <x:c r="P20" s="5"/>
      <x:c r="Q20" s="5"/>
      <x:c r="R20" s="5"/>
      <x:c r="S20" s="5"/>
      <x:c r="T20" s="6"/>
      <x:c r="U20" s="5"/>
      <x:c r="V20" s="5"/>
      <x:c r="W20" s="1"/>
      <x:c r="X20" s="1"/>
      <x:c r="Y20" s="1"/>
      <x:c r="Z20" s="1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6"/>
      <x:c r="N21" s="5"/>
      <x:c r="O21" s="6"/>
      <x:c r="P21" s="5"/>
      <x:c r="Q21" s="5"/>
      <x:c r="R21" s="5"/>
      <x:c r="S21" s="5"/>
      <x:c r="T21" s="6"/>
      <x:c r="U21" s="5"/>
      <x:c r="V21" s="5"/>
      <x:c r="W21" s="1"/>
      <x:c r="X21" s="1"/>
      <x:c r="Y21" s="1"/>
      <x:c r="Z21" s="1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6"/>
      <x:c r="N22" s="5"/>
      <x:c r="O22" s="6"/>
      <x:c r="P22" s="5"/>
      <x:c r="Q22" s="5"/>
      <x:c r="R22" s="5"/>
      <x:c r="S22" s="5"/>
      <x:c r="T22" s="6"/>
      <x:c r="U22" s="5"/>
      <x:c r="V22" s="5"/>
      <x:c r="W22" s="1"/>
      <x:c r="X22" s="1"/>
      <x:c r="Y22" s="1"/>
      <x:c r="Z22" s="1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6"/>
      <x:c r="N23" s="5"/>
      <x:c r="O23" s="6"/>
      <x:c r="P23" s="5"/>
      <x:c r="Q23" s="5"/>
      <x:c r="R23" s="5"/>
      <x:c r="S23" s="5"/>
      <x:c r="T23" s="6"/>
      <x:c r="U23" s="5"/>
      <x:c r="V23" s="5"/>
      <x:c r="W23" s="1"/>
      <x:c r="X23" s="1"/>
      <x:c r="Y23" s="1"/>
      <x:c r="Z23" s="1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6"/>
      <x:c r="N24" s="5"/>
      <x:c r="O24" s="6"/>
      <x:c r="P24" s="5"/>
      <x:c r="Q24" s="5"/>
      <x:c r="R24" s="5"/>
      <x:c r="S24" s="5"/>
      <x:c r="T24" s="6"/>
      <x:c r="U24" s="5"/>
      <x:c r="V24" s="5"/>
      <x:c r="W24" s="1"/>
      <x:c r="X24" s="1"/>
      <x:c r="Y24" s="1"/>
      <x:c r="Z24" s="1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6"/>
      <x:c r="N25" s="5"/>
      <x:c r="O25" s="6"/>
      <x:c r="P25" s="5"/>
      <x:c r="Q25" s="5"/>
      <x:c r="R25" s="5"/>
      <x:c r="S25" s="5"/>
      <x:c r="T25" s="6"/>
      <x:c r="U25" s="5"/>
      <x:c r="V25" s="5"/>
      <x:c r="W25" s="1"/>
      <x:c r="X25" s="1"/>
      <x:c r="Y25" s="1"/>
      <x:c r="Z25" s="1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6"/>
      <x:c r="N26" s="5"/>
      <x:c r="O26" s="6"/>
      <x:c r="P26" s="5"/>
      <x:c r="Q26" s="5"/>
      <x:c r="R26" s="5"/>
      <x:c r="S26" s="5"/>
      <x:c r="T26" s="6"/>
      <x:c r="U26" s="5"/>
      <x:c r="V26" s="5"/>
      <x:c r="W26" s="1"/>
      <x:c r="X26" s="1"/>
      <x:c r="Y26" s="1"/>
      <x:c r="Z26" s="1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6"/>
      <x:c r="N27" s="5"/>
      <x:c r="O27" s="6"/>
      <x:c r="P27" s="5"/>
      <x:c r="Q27" s="5"/>
      <x:c r="R27" s="5"/>
      <x:c r="S27" s="5"/>
      <x:c r="T27" s="6"/>
      <x:c r="U27" s="5"/>
      <x:c r="V27" s="5"/>
      <x:c r="W27" s="1"/>
      <x:c r="X27" s="1"/>
      <x:c r="Y27" s="1"/>
      <x:c r="Z27" s="1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6"/>
      <x:c r="N28" s="5"/>
      <x:c r="O28" s="6"/>
      <x:c r="P28" s="5"/>
      <x:c r="Q28" s="5"/>
      <x:c r="R28" s="5"/>
      <x:c r="S28" s="5"/>
      <x:c r="T28" s="6"/>
      <x:c r="U28" s="5"/>
      <x:c r="V28" s="5"/>
      <x:c r="W28" s="1"/>
      <x:c r="X28" s="1"/>
      <x:c r="Y28" s="1"/>
      <x:c r="Z28" s="1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6"/>
      <x:c r="N29" s="5"/>
      <x:c r="O29" s="6"/>
      <x:c r="P29" s="5"/>
      <x:c r="Q29" s="5"/>
      <x:c r="R29" s="5"/>
      <x:c r="S29" s="5"/>
      <x:c r="T29" s="6"/>
      <x:c r="U29" s="5"/>
      <x:c r="V29" s="5"/>
      <x:c r="W29" s="1"/>
      <x:c r="X29" s="1"/>
      <x:c r="Y29" s="1"/>
      <x:c r="Z29" s="1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6"/>
      <x:c r="N30" s="5"/>
      <x:c r="O30" s="6"/>
      <x:c r="P30" s="5"/>
      <x:c r="Q30" s="5"/>
      <x:c r="R30" s="5"/>
      <x:c r="S30" s="5"/>
      <x:c r="T30" s="6"/>
      <x:c r="U30" s="5"/>
      <x:c r="V30" s="5"/>
      <x:c r="W30" s="1"/>
      <x:c r="X30" s="1"/>
      <x:c r="Y30" s="1"/>
      <x:c r="Z30" s="1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6"/>
      <x:c r="N31" s="5"/>
      <x:c r="O31" s="6"/>
      <x:c r="P31" s="5"/>
      <x:c r="Q31" s="5"/>
      <x:c r="R31" s="5"/>
      <x:c r="S31" s="5"/>
      <x:c r="T31" s="6"/>
      <x:c r="U31" s="5"/>
      <x:c r="V31" s="5"/>
      <x:c r="W31" s="1"/>
      <x:c r="X31" s="1"/>
      <x:c r="Y31" s="1"/>
      <x:c r="Z31" s="1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6"/>
      <x:c r="N32" s="5"/>
      <x:c r="O32" s="6"/>
      <x:c r="P32" s="5"/>
      <x:c r="Q32" s="5"/>
      <x:c r="R32" s="5"/>
      <x:c r="S32" s="5"/>
      <x:c r="T32" s="6"/>
      <x:c r="U32" s="5"/>
      <x:c r="V32" s="5"/>
      <x:c r="W32" s="1"/>
      <x:c r="X32" s="1"/>
      <x:c r="Y32" s="1"/>
      <x:c r="Z32" s="1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6"/>
      <x:c r="N33" s="5"/>
      <x:c r="O33" s="6"/>
      <x:c r="P33" s="5"/>
      <x:c r="Q33" s="5"/>
      <x:c r="R33" s="5"/>
      <x:c r="S33" s="5"/>
      <x:c r="T33" s="6"/>
      <x:c r="U33" s="5"/>
      <x:c r="V33" s="5"/>
      <x:c r="W33" s="1"/>
      <x:c r="X33" s="1"/>
      <x:c r="Y33" s="1"/>
      <x:c r="Z33" s="1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6"/>
      <x:c r="N34" s="5"/>
      <x:c r="O34" s="6"/>
      <x:c r="P34" s="5"/>
      <x:c r="Q34" s="5"/>
      <x:c r="R34" s="5"/>
      <x:c r="S34" s="5"/>
      <x:c r="T34" s="6"/>
      <x:c r="U34" s="5"/>
      <x:c r="V34" s="5"/>
      <x:c r="W34" s="1"/>
      <x:c r="X34" s="1"/>
      <x:c r="Y34" s="1"/>
      <x:c r="Z34" s="1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6"/>
      <x:c r="N35" s="5"/>
      <x:c r="O35" s="6"/>
      <x:c r="P35" s="5"/>
      <x:c r="Q35" s="5"/>
      <x:c r="R35" s="5"/>
      <x:c r="S35" s="5"/>
      <x:c r="T35" s="6"/>
      <x:c r="U35" s="5"/>
      <x:c r="V35" s="5"/>
      <x:c r="W35" s="1"/>
      <x:c r="X35" s="1"/>
      <x:c r="Y35" s="1"/>
      <x:c r="Z35" s="1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6"/>
      <x:c r="N36" s="5"/>
      <x:c r="O36" s="6"/>
      <x:c r="P36" s="5"/>
      <x:c r="Q36" s="5"/>
      <x:c r="R36" s="5"/>
      <x:c r="S36" s="5"/>
      <x:c r="T36" s="6"/>
      <x:c r="U36" s="5"/>
      <x:c r="V36" s="5"/>
      <x:c r="W36" s="1"/>
      <x:c r="X36" s="1"/>
      <x:c r="Y36" s="1"/>
      <x:c r="Z36" s="1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6"/>
      <x:c r="N37" s="5"/>
      <x:c r="O37" s="6"/>
      <x:c r="P37" s="5"/>
      <x:c r="Q37" s="5"/>
      <x:c r="R37" s="5"/>
      <x:c r="S37" s="5"/>
      <x:c r="T37" s="6"/>
      <x:c r="U37" s="5"/>
      <x:c r="V37" s="5"/>
      <x:c r="W37" s="1"/>
      <x:c r="X37" s="1"/>
      <x:c r="Y37" s="1"/>
      <x:c r="Z37" s="1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6"/>
      <x:c r="N38" s="5"/>
      <x:c r="O38" s="6"/>
      <x:c r="P38" s="5"/>
      <x:c r="Q38" s="5"/>
      <x:c r="R38" s="5"/>
      <x:c r="S38" s="5"/>
      <x:c r="T38" s="6"/>
      <x:c r="U38" s="5"/>
      <x:c r="V38" s="5"/>
      <x:c r="W38" s="1"/>
      <x:c r="X38" s="1"/>
      <x:c r="Y38" s="1"/>
      <x:c r="Z38" s="1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6"/>
      <x:c r="N39" s="5"/>
      <x:c r="O39" s="6"/>
      <x:c r="P39" s="5"/>
      <x:c r="Q39" s="5"/>
      <x:c r="R39" s="5"/>
      <x:c r="S39" s="5"/>
      <x:c r="T39" s="6"/>
      <x:c r="U39" s="5"/>
      <x:c r="V39" s="5"/>
      <x:c r="W39" s="1"/>
      <x:c r="X39" s="1"/>
      <x:c r="Y39" s="1"/>
      <x:c r="Z39" s="1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6"/>
      <x:c r="N40" s="5"/>
      <x:c r="O40" s="6"/>
      <x:c r="P40" s="5"/>
      <x:c r="Q40" s="5"/>
      <x:c r="R40" s="5"/>
      <x:c r="S40" s="5"/>
      <x:c r="T40" s="6"/>
      <x:c r="U40" s="5"/>
      <x:c r="V40" s="5"/>
      <x:c r="W40" s="1"/>
      <x:c r="X40" s="1"/>
      <x:c r="Y40" s="1"/>
      <x:c r="Z40" s="1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6"/>
      <x:c r="N41" s="5"/>
      <x:c r="O41" s="6"/>
      <x:c r="P41" s="5"/>
      <x:c r="Q41" s="5"/>
      <x:c r="R41" s="5"/>
      <x:c r="S41" s="5"/>
      <x:c r="T41" s="6"/>
      <x:c r="U41" s="5"/>
      <x:c r="V41" s="5"/>
      <x:c r="W41" s="1"/>
      <x:c r="X41" s="1"/>
      <x:c r="Y41" s="1"/>
      <x:c r="Z41" s="1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6"/>
      <x:c r="N42" s="5"/>
      <x:c r="O42" s="6"/>
      <x:c r="P42" s="5"/>
      <x:c r="Q42" s="5"/>
      <x:c r="R42" s="5"/>
      <x:c r="S42" s="5"/>
      <x:c r="T42" s="6"/>
      <x:c r="U42" s="5"/>
      <x:c r="V42" s="5"/>
      <x:c r="W42" s="1"/>
      <x:c r="X42" s="1"/>
      <x:c r="Y42" s="1"/>
      <x:c r="Z42" s="1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6"/>
      <x:c r="N43" s="5"/>
      <x:c r="O43" s="6"/>
      <x:c r="P43" s="5"/>
      <x:c r="Q43" s="5"/>
      <x:c r="R43" s="5"/>
      <x:c r="S43" s="5"/>
      <x:c r="T43" s="6"/>
      <x:c r="U43" s="5"/>
      <x:c r="V43" s="5"/>
      <x:c r="W43" s="1"/>
      <x:c r="X43" s="1"/>
      <x:c r="Y43" s="1"/>
      <x:c r="Z43" s="1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6"/>
      <x:c r="N44" s="5"/>
      <x:c r="O44" s="6"/>
      <x:c r="P44" s="5"/>
      <x:c r="Q44" s="5"/>
      <x:c r="R44" s="5"/>
      <x:c r="S44" s="5"/>
      <x:c r="T44" s="6"/>
      <x:c r="U44" s="5"/>
      <x:c r="V44" s="5"/>
      <x:c r="W44" s="1"/>
      <x:c r="X44" s="1"/>
      <x:c r="Y44" s="1"/>
      <x:c r="Z44" s="1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6"/>
      <x:c r="N45" s="5"/>
      <x:c r="O45" s="6"/>
      <x:c r="P45" s="5"/>
      <x:c r="Q45" s="5"/>
      <x:c r="R45" s="5"/>
      <x:c r="S45" s="5"/>
      <x:c r="T45" s="6"/>
      <x:c r="U45" s="5"/>
      <x:c r="V45" s="5"/>
      <x:c r="W45" s="1"/>
      <x:c r="X45" s="1"/>
      <x:c r="Y45" s="1"/>
      <x:c r="Z45" s="1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6"/>
      <x:c r="N46" s="5"/>
      <x:c r="O46" s="6"/>
      <x:c r="P46" s="5"/>
      <x:c r="Q46" s="5"/>
      <x:c r="R46" s="5"/>
      <x:c r="S46" s="5"/>
      <x:c r="T46" s="6"/>
      <x:c r="U46" s="5"/>
      <x:c r="V46" s="5"/>
      <x:c r="W46" s="1"/>
      <x:c r="X46" s="1"/>
      <x:c r="Y46" s="1"/>
      <x:c r="Z46" s="1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6"/>
      <x:c r="N47" s="5"/>
      <x:c r="O47" s="6"/>
      <x:c r="P47" s="5"/>
      <x:c r="Q47" s="5"/>
      <x:c r="R47" s="5"/>
      <x:c r="S47" s="5"/>
      <x:c r="T47" s="6"/>
      <x:c r="U47" s="5"/>
      <x:c r="V47" s="5"/>
      <x:c r="W47" s="1"/>
      <x:c r="X47" s="1"/>
      <x:c r="Y47" s="1"/>
      <x:c r="Z47" s="1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6"/>
      <x:c r="N48" s="5"/>
      <x:c r="O48" s="6"/>
      <x:c r="P48" s="5"/>
      <x:c r="Q48" s="5"/>
      <x:c r="R48" s="5"/>
      <x:c r="S48" s="5"/>
      <x:c r="T48" s="6"/>
      <x:c r="U48" s="5"/>
      <x:c r="V48" s="5"/>
      <x:c r="W48" s="1"/>
      <x:c r="X48" s="1"/>
      <x:c r="Y48" s="1"/>
      <x:c r="Z48" s="1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6"/>
      <x:c r="N49" s="5"/>
      <x:c r="O49" s="6"/>
      <x:c r="P49" s="5"/>
      <x:c r="Q49" s="5"/>
      <x:c r="R49" s="5"/>
      <x:c r="S49" s="5"/>
      <x:c r="T49" s="6"/>
      <x:c r="U49" s="5"/>
      <x:c r="V49" s="5"/>
      <x:c r="W49" s="1"/>
      <x:c r="X49" s="1"/>
      <x:c r="Y49" s="1"/>
      <x:c r="Z49" s="1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6"/>
      <x:c r="N50" s="5"/>
      <x:c r="O50" s="6"/>
      <x:c r="P50" s="5"/>
      <x:c r="Q50" s="5"/>
      <x:c r="R50" s="5"/>
      <x:c r="S50" s="5"/>
      <x:c r="T50" s="6"/>
      <x:c r="U50" s="5"/>
      <x:c r="V50" s="5"/>
      <x:c r="W50" s="1"/>
      <x:c r="X50" s="1"/>
      <x:c r="Y50" s="1"/>
      <x:c r="Z50" s="1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6"/>
      <x:c r="N51" s="5"/>
      <x:c r="O51" s="6"/>
      <x:c r="P51" s="5"/>
      <x:c r="Q51" s="5"/>
      <x:c r="R51" s="5"/>
      <x:c r="S51" s="5"/>
      <x:c r="T51" s="6"/>
      <x:c r="U51" s="5"/>
      <x:c r="V51" s="5"/>
      <x:c r="W51" s="1"/>
      <x:c r="X51" s="1"/>
      <x:c r="Y51" s="1"/>
      <x:c r="Z51" s="1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6"/>
      <x:c r="N52" s="5"/>
      <x:c r="O52" s="6"/>
      <x:c r="P52" s="5"/>
      <x:c r="Q52" s="5"/>
      <x:c r="R52" s="5"/>
      <x:c r="S52" s="5"/>
      <x:c r="T52" s="6"/>
      <x:c r="U52" s="5"/>
      <x:c r="V52" s="5"/>
      <x:c r="W52" s="1"/>
      <x:c r="X52" s="1"/>
      <x:c r="Y52" s="1"/>
      <x:c r="Z52" s="1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6"/>
      <x:c r="N53" s="5"/>
      <x:c r="O53" s="6"/>
      <x:c r="P53" s="5"/>
      <x:c r="Q53" s="5"/>
      <x:c r="R53" s="5"/>
      <x:c r="S53" s="5"/>
      <x:c r="T53" s="6"/>
      <x:c r="U53" s="5"/>
      <x:c r="V53" s="5"/>
      <x:c r="W53" s="1"/>
      <x:c r="X53" s="1"/>
      <x:c r="Y53" s="1"/>
      <x:c r="Z53" s="1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6"/>
      <x:c r="N54" s="5"/>
      <x:c r="O54" s="6"/>
      <x:c r="P54" s="5"/>
      <x:c r="Q54" s="5"/>
      <x:c r="R54" s="5"/>
      <x:c r="S54" s="5"/>
      <x:c r="T54" s="6"/>
      <x:c r="U54" s="5"/>
      <x:c r="V54" s="5"/>
      <x:c r="W54" s="1"/>
      <x:c r="X54" s="1"/>
      <x:c r="Y54" s="1"/>
      <x:c r="Z54" s="1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6"/>
      <x:c r="N55" s="5"/>
      <x:c r="O55" s="6"/>
      <x:c r="P55" s="5"/>
      <x:c r="Q55" s="5"/>
      <x:c r="R55" s="5"/>
      <x:c r="S55" s="5"/>
      <x:c r="T55" s="6"/>
      <x:c r="U55" s="5"/>
      <x:c r="V55" s="5"/>
      <x:c r="W55" s="1"/>
      <x:c r="X55" s="1"/>
      <x:c r="Y55" s="1"/>
      <x:c r="Z55" s="1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6"/>
      <x:c r="N56" s="5"/>
      <x:c r="O56" s="6"/>
      <x:c r="P56" s="5"/>
      <x:c r="Q56" s="5"/>
      <x:c r="R56" s="5"/>
      <x:c r="S56" s="5"/>
      <x:c r="T56" s="6"/>
      <x:c r="U56" s="5"/>
      <x:c r="V56" s="5"/>
      <x:c r="W56" s="1"/>
      <x:c r="X56" s="1"/>
      <x:c r="Y56" s="1"/>
      <x:c r="Z56" s="1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6"/>
      <x:c r="N57" s="5"/>
      <x:c r="O57" s="6"/>
      <x:c r="P57" s="5"/>
      <x:c r="Q57" s="5"/>
      <x:c r="R57" s="5"/>
      <x:c r="S57" s="5"/>
      <x:c r="T57" s="6"/>
      <x:c r="U57" s="5"/>
      <x:c r="V57" s="5"/>
      <x:c r="W57" s="1"/>
      <x:c r="X57" s="1"/>
      <x:c r="Y57" s="1"/>
      <x:c r="Z57" s="1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6"/>
      <x:c r="N58" s="5"/>
      <x:c r="O58" s="6"/>
      <x:c r="P58" s="5"/>
      <x:c r="Q58" s="5"/>
      <x:c r="R58" s="5"/>
      <x:c r="S58" s="5"/>
      <x:c r="T58" s="6"/>
      <x:c r="U58" s="5"/>
      <x:c r="V58" s="5"/>
      <x:c r="W58" s="1"/>
      <x:c r="X58" s="1"/>
      <x:c r="Y58" s="1"/>
      <x:c r="Z58" s="1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6"/>
      <x:c r="N59" s="5"/>
      <x:c r="O59" s="6"/>
      <x:c r="P59" s="5"/>
      <x:c r="Q59" s="5"/>
      <x:c r="R59" s="5"/>
      <x:c r="S59" s="5"/>
      <x:c r="T59" s="6"/>
      <x:c r="U59" s="5"/>
      <x:c r="V59" s="5"/>
      <x:c r="W59" s="1"/>
      <x:c r="X59" s="1"/>
      <x:c r="Y59" s="1"/>
      <x:c r="Z59" s="1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6"/>
      <x:c r="N60" s="5"/>
      <x:c r="O60" s="6"/>
      <x:c r="P60" s="5"/>
      <x:c r="Q60" s="5"/>
      <x:c r="R60" s="5"/>
      <x:c r="S60" s="5"/>
      <x:c r="T60" s="6"/>
      <x:c r="U60" s="5"/>
      <x:c r="V60" s="5"/>
      <x:c r="W60" s="1"/>
      <x:c r="X60" s="1"/>
      <x:c r="Y60" s="1"/>
      <x:c r="Z60" s="1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6"/>
      <x:c r="N61" s="5"/>
      <x:c r="O61" s="6"/>
      <x:c r="P61" s="5"/>
      <x:c r="Q61" s="5"/>
      <x:c r="R61" s="5"/>
      <x:c r="S61" s="5"/>
      <x:c r="T61" s="6"/>
      <x:c r="U61" s="5"/>
      <x:c r="V61" s="5"/>
      <x:c r="W61" s="1"/>
      <x:c r="X61" s="1"/>
      <x:c r="Y61" s="1"/>
      <x:c r="Z61" s="1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6"/>
      <x:c r="N62" s="5"/>
      <x:c r="O62" s="6"/>
      <x:c r="P62" s="5"/>
      <x:c r="Q62" s="5"/>
      <x:c r="R62" s="5"/>
      <x:c r="S62" s="5"/>
      <x:c r="T62" s="6"/>
      <x:c r="U62" s="5"/>
      <x:c r="V62" s="5"/>
      <x:c r="W62" s="1"/>
      <x:c r="X62" s="1"/>
      <x:c r="Y62" s="1"/>
      <x:c r="Z62" s="1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6"/>
      <x:c r="N63" s="5"/>
      <x:c r="O63" s="6"/>
      <x:c r="P63" s="5"/>
      <x:c r="Q63" s="5"/>
      <x:c r="R63" s="5"/>
      <x:c r="S63" s="5"/>
      <x:c r="T63" s="6"/>
      <x:c r="U63" s="5"/>
      <x:c r="V63" s="5"/>
      <x:c r="W63" s="1"/>
      <x:c r="X63" s="1"/>
      <x:c r="Y63" s="1"/>
      <x:c r="Z63" s="1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6"/>
      <x:c r="N64" s="5"/>
      <x:c r="O64" s="6"/>
      <x:c r="P64" s="5"/>
      <x:c r="Q64" s="5"/>
      <x:c r="R64" s="5"/>
      <x:c r="S64" s="5"/>
      <x:c r="T64" s="6"/>
      <x:c r="U64" s="5"/>
      <x:c r="V64" s="5"/>
      <x:c r="W64" s="1"/>
      <x:c r="X64" s="1"/>
      <x:c r="Y64" s="1"/>
      <x:c r="Z64" s="1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6"/>
      <x:c r="N65" s="5"/>
      <x:c r="O65" s="6"/>
      <x:c r="P65" s="5"/>
      <x:c r="Q65" s="5"/>
      <x:c r="R65" s="5"/>
      <x:c r="S65" s="5"/>
      <x:c r="T65" s="6"/>
      <x:c r="U65" s="5"/>
      <x:c r="V65" s="5"/>
      <x:c r="W65" s="1"/>
      <x:c r="X65" s="1"/>
      <x:c r="Y65" s="1"/>
      <x:c r="Z65" s="1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6"/>
      <x:c r="N66" s="5"/>
      <x:c r="O66" s="6"/>
      <x:c r="P66" s="5"/>
      <x:c r="Q66" s="5"/>
      <x:c r="R66" s="5"/>
      <x:c r="S66" s="5"/>
      <x:c r="T66" s="6"/>
      <x:c r="U66" s="5"/>
      <x:c r="V66" s="5"/>
      <x:c r="W66" s="1"/>
      <x:c r="X66" s="1"/>
      <x:c r="Y66" s="1"/>
      <x:c r="Z66" s="1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6"/>
      <x:c r="N67" s="5"/>
      <x:c r="O67" s="6"/>
      <x:c r="P67" s="5"/>
      <x:c r="Q67" s="5"/>
      <x:c r="R67" s="5"/>
      <x:c r="S67" s="5"/>
      <x:c r="T67" s="6"/>
      <x:c r="U67" s="5"/>
      <x:c r="V67" s="5"/>
      <x:c r="W67" s="1"/>
      <x:c r="X67" s="1"/>
      <x:c r="Y67" s="1"/>
      <x:c r="Z67" s="1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6"/>
      <x:c r="N68" s="5"/>
      <x:c r="O68" s="6"/>
      <x:c r="P68" s="5"/>
      <x:c r="Q68" s="5"/>
      <x:c r="R68" s="5"/>
      <x:c r="S68" s="5"/>
      <x:c r="T68" s="6"/>
      <x:c r="U68" s="5"/>
      <x:c r="V68" s="5"/>
      <x:c r="W68" s="1"/>
      <x:c r="X68" s="1"/>
      <x:c r="Y68" s="1"/>
      <x:c r="Z68" s="1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6"/>
      <x:c r="N69" s="5"/>
      <x:c r="O69" s="6"/>
      <x:c r="P69" s="5"/>
      <x:c r="Q69" s="5"/>
      <x:c r="R69" s="5"/>
      <x:c r="S69" s="5"/>
      <x:c r="T69" s="6"/>
      <x:c r="U69" s="5"/>
      <x:c r="V69" s="5"/>
      <x:c r="W69" s="1"/>
      <x:c r="X69" s="1"/>
      <x:c r="Y69" s="1"/>
      <x:c r="Z69" s="1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6"/>
      <x:c r="N70" s="5"/>
      <x:c r="O70" s="6"/>
      <x:c r="P70" s="5"/>
      <x:c r="Q70" s="5"/>
      <x:c r="R70" s="5"/>
      <x:c r="S70" s="5"/>
      <x:c r="T70" s="6"/>
      <x:c r="U70" s="5"/>
      <x:c r="V70" s="5"/>
      <x:c r="W70" s="1"/>
      <x:c r="X70" s="1"/>
      <x:c r="Y70" s="1"/>
      <x:c r="Z70" s="1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6"/>
      <x:c r="N71" s="5"/>
      <x:c r="O71" s="6"/>
      <x:c r="P71" s="5"/>
      <x:c r="Q71" s="5"/>
      <x:c r="R71" s="5"/>
      <x:c r="S71" s="5"/>
      <x:c r="T71" s="6"/>
      <x:c r="U71" s="5"/>
      <x:c r="V71" s="5"/>
      <x:c r="W71" s="1"/>
      <x:c r="X71" s="1"/>
      <x:c r="Y71" s="1"/>
      <x:c r="Z71" s="1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6"/>
      <x:c r="N72" s="5"/>
      <x:c r="O72" s="6"/>
      <x:c r="P72" s="5"/>
      <x:c r="Q72" s="5"/>
      <x:c r="R72" s="5"/>
      <x:c r="S72" s="5"/>
      <x:c r="T72" s="6"/>
      <x:c r="U72" s="5"/>
      <x:c r="V72" s="5"/>
      <x:c r="W72" s="1"/>
      <x:c r="X72" s="1"/>
      <x:c r="Y72" s="1"/>
      <x:c r="Z72" s="1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6"/>
      <x:c r="N73" s="5"/>
      <x:c r="O73" s="6"/>
      <x:c r="P73" s="5"/>
      <x:c r="Q73" s="5"/>
      <x:c r="R73" s="5"/>
      <x:c r="S73" s="5"/>
      <x:c r="T73" s="6"/>
      <x:c r="U73" s="5"/>
      <x:c r="V73" s="5"/>
      <x:c r="W73" s="1"/>
      <x:c r="X73" s="1"/>
      <x:c r="Y73" s="1"/>
      <x:c r="Z73" s="1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6"/>
      <x:c r="N74" s="5"/>
      <x:c r="O74" s="6"/>
      <x:c r="P74" s="5"/>
      <x:c r="Q74" s="5"/>
      <x:c r="R74" s="5"/>
      <x:c r="S74" s="5"/>
      <x:c r="T74" s="6"/>
      <x:c r="U74" s="5"/>
      <x:c r="V74" s="5"/>
      <x:c r="W74" s="1"/>
      <x:c r="X74" s="1"/>
      <x:c r="Y74" s="1"/>
      <x:c r="Z74" s="1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6"/>
      <x:c r="N75" s="5"/>
      <x:c r="O75" s="6"/>
      <x:c r="P75" s="5"/>
      <x:c r="Q75" s="5"/>
      <x:c r="R75" s="5"/>
      <x:c r="S75" s="5"/>
      <x:c r="T75" s="6"/>
      <x:c r="U75" s="5"/>
      <x:c r="V75" s="5"/>
      <x:c r="W75" s="1"/>
      <x:c r="X75" s="1"/>
      <x:c r="Y75" s="1"/>
      <x:c r="Z75" s="1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6"/>
      <x:c r="N76" s="5"/>
      <x:c r="O76" s="6"/>
      <x:c r="P76" s="5"/>
      <x:c r="Q76" s="5"/>
      <x:c r="R76" s="5"/>
      <x:c r="S76" s="5"/>
      <x:c r="T76" s="6"/>
      <x:c r="U76" s="5"/>
      <x:c r="V76" s="5"/>
      <x:c r="W76" s="1"/>
      <x:c r="X76" s="1"/>
      <x:c r="Y76" s="1"/>
      <x:c r="Z76" s="1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6"/>
      <x:c r="N77" s="5"/>
      <x:c r="O77" s="6"/>
      <x:c r="P77" s="5"/>
      <x:c r="Q77" s="5"/>
      <x:c r="R77" s="5"/>
      <x:c r="S77" s="5"/>
      <x:c r="T77" s="6"/>
      <x:c r="U77" s="5"/>
      <x:c r="V77" s="5"/>
      <x:c r="W77" s="1"/>
      <x:c r="X77" s="1"/>
      <x:c r="Y77" s="1"/>
      <x:c r="Z77" s="1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6"/>
      <x:c r="N78" s="5"/>
      <x:c r="O78" s="6"/>
      <x:c r="P78" s="5"/>
      <x:c r="Q78" s="5"/>
      <x:c r="R78" s="5"/>
      <x:c r="S78" s="5"/>
      <x:c r="T78" s="6"/>
      <x:c r="U78" s="5"/>
      <x:c r="V78" s="5"/>
      <x:c r="W78" s="1"/>
      <x:c r="X78" s="1"/>
      <x:c r="Y78" s="1"/>
      <x:c r="Z78" s="1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6"/>
      <x:c r="N79" s="5"/>
      <x:c r="O79" s="6"/>
      <x:c r="P79" s="5"/>
      <x:c r="Q79" s="5"/>
      <x:c r="R79" s="5"/>
      <x:c r="S79" s="5"/>
      <x:c r="T79" s="6"/>
      <x:c r="U79" s="5"/>
      <x:c r="V79" s="5"/>
      <x:c r="W79" s="1"/>
      <x:c r="X79" s="1"/>
      <x:c r="Y79" s="1"/>
      <x:c r="Z79" s="1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6"/>
      <x:c r="N80" s="5"/>
      <x:c r="O80" s="6"/>
      <x:c r="P80" s="5"/>
      <x:c r="Q80" s="5"/>
      <x:c r="R80" s="5"/>
      <x:c r="S80" s="5"/>
      <x:c r="T80" s="6"/>
      <x:c r="U80" s="5"/>
      <x:c r="V80" s="5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4">
    <x:dataValidation type="list" sqref="K2:K80">
      <x:formula1>"Target,Researching,Contacted,Demo Scheduled,Demo Completed,Pilot Proposed,Pilot Active,Negotiating,Signed,Paused,Closed Lost"</x:formula1>
    </x:dataValidation>
    <x:dataValidation type="list" sqref="L2:L80">
      <x:formula1>"High,Medium,Low"</x:formula1>
    </x:dataValidation>
    <x:dataValidation type="list" sqref="P2:P80">
      <x:formula1>"Unknown,Low,Medium,High,Confirmed"</x:formula1>
    </x:dataValidation>
    <x:dataValidation type="list" sqref="S2:S80">
      <x:formula1>"No Deal Yet,Pilot Offered,Pilot Active,Negotiating,Signed,Paused,Closed 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36b74d84742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" hidden="0" customWidth="1"/>
    <x:col min="3" max="3" width="24.440000534057617" hidden="0" customWidth="1"/>
    <x:col min="4" max="4" width="16.670000076293945" hidden="0" customWidth="1"/>
    <x:col min="5" max="5" width="12.220000267028809" hidden="0" customWidth="1"/>
    <x:col min="6" max="6" width="10.5600004196167" hidden="0" customWidth="1"/>
    <x:col min="7" max="7" width="38.88999938964844" hidden="0" customWidth="1"/>
    <x:col min="8" max="8" width="16.110000610351562" hidden="0" customWidth="1"/>
    <x:col min="9" max="9" width="26.670000076293945" hidden="0" customWidth="1"/>
    <x:col min="10" max="10" width="13.329999923706055" hidden="0" customWidth="1"/>
  </x:cols>
  <x:sheetData>
    <x:row r="1">
      <x:c r="A1" s="4" t="str">
        <x:v>Date</x:v>
      </x:c>
      <x:c r="B1" s="4" t="str">
        <x:v>Agency ID</x:v>
      </x:c>
      <x:c r="C1" s="4" t="str">
        <x:v>Agency</x:v>
      </x:c>
      <x:c r="D1" s="4" t="str">
        <x:v>Contact Name</x:v>
      </x:c>
      <x:c r="E1" s="4" t="str">
        <x:v>Channel</x:v>
      </x:c>
      <x:c r="F1" s="4" t="str">
        <x:v>Direction</x:v>
      </x:c>
      <x:c r="G1" s="4" t="str">
        <x:v>Summary</x:v>
      </x:c>
      <x:c r="H1" s="4" t="str">
        <x:v>Outcome</x:v>
      </x:c>
      <x:c r="I1" s="4" t="str">
        <x:v>Next Step</x:v>
      </x:c>
      <x:c r="J1" s="4" t="str">
        <x:v>Follow-up Date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/>
      <x:c r="B2" s="5" t="str">
        <x:v>AGY-001</x:v>
      </x:c>
      <x:c r="C2" s="5" t="str">
        <x:v>Spherion Staffing &amp; Recruiting</x:v>
      </x:c>
      <x:c r="D2" s="5" t="str"/>
      <x:c r="E2" s="5" t="str">
        <x:v>Email</x:v>
      </x:c>
      <x:c r="F2" s="5" t="str">
        <x:v>Outbound</x:v>
      </x:c>
      <x:c r="G2" s="5" t="str">
        <x:v>Initial local agency pilot outreach.</x:v>
      </x:c>
      <x:c r="H2" s="5" t="str">
        <x:v>Pending</x:v>
      </x:c>
      <x:c r="I2" s="5" t="str">
        <x:v>Follow up if no response</x:v>
      </x:c>
      <x:c r="J2" s="6" t="str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tr"/>
      <x:c r="B3" s="5" t="str">
        <x:v>AGY-002</x:v>
      </x:c>
      <x:c r="C3" s="5" t="str">
        <x:v>Express Employment Professionals</x:v>
      </x:c>
      <x:c r="D3" s="5" t="str"/>
      <x:c r="E3" s="5" t="str">
        <x:v>Research</x:v>
      </x:c>
      <x:c r="F3" s="5" t="str">
        <x:v>Internal</x:v>
      </x:c>
      <x:c r="G3" s="5" t="str">
        <x:v>Find local branch decision maker.</x:v>
      </x:c>
      <x:c r="H3" s="5" t="str">
        <x:v>Open</x:v>
      </x:c>
      <x:c r="I3" s="5" t="str">
        <x:v>Add contact details</x:v>
      </x:c>
      <x:c r="J3" s="6" t="str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/>
      <x:c r="B4" s="5"/>
      <x:c r="C4" s="5"/>
      <x:c r="D4" s="5"/>
      <x:c r="E4" s="5"/>
      <x:c r="F4" s="5"/>
      <x:c r="G4" s="5"/>
      <x:c r="H4" s="5"/>
      <x:c r="I4" s="5"/>
      <x:c r="J4" s="6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"/>
      <x:c r="B5" s="5"/>
      <x:c r="C5" s="5"/>
      <x:c r="D5" s="5"/>
      <x:c r="E5" s="5"/>
      <x:c r="F5" s="5"/>
      <x:c r="G5" s="5"/>
      <x:c r="H5" s="5"/>
      <x:c r="I5" s="5"/>
      <x:c r="J5" s="6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"/>
      <x:c r="B6" s="5"/>
      <x:c r="C6" s="5"/>
      <x:c r="D6" s="5"/>
      <x:c r="E6" s="5"/>
      <x:c r="F6" s="5"/>
      <x:c r="G6" s="5"/>
      <x:c r="H6" s="5"/>
      <x:c r="I6" s="5"/>
      <x:c r="J6" s="6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6"/>
      <x:c r="B7" s="5"/>
      <x:c r="C7" s="5"/>
      <x:c r="D7" s="5"/>
      <x:c r="E7" s="5"/>
      <x:c r="F7" s="5"/>
      <x:c r="G7" s="5"/>
      <x:c r="H7" s="5"/>
      <x:c r="I7" s="5"/>
      <x:c r="J7" s="6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"/>
      <x:c r="B8" s="5"/>
      <x:c r="C8" s="5"/>
      <x:c r="D8" s="5"/>
      <x:c r="E8" s="5"/>
      <x:c r="F8" s="5"/>
      <x:c r="G8" s="5"/>
      <x:c r="H8" s="5"/>
      <x:c r="I8" s="5"/>
      <x:c r="J8" s="6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"/>
      <x:c r="B9" s="5"/>
      <x:c r="C9" s="5"/>
      <x:c r="D9" s="5"/>
      <x:c r="E9" s="5"/>
      <x:c r="F9" s="5"/>
      <x:c r="G9" s="5"/>
      <x:c r="H9" s="5"/>
      <x:c r="I9" s="5"/>
      <x:c r="J9" s="6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"/>
      <x:c r="B10" s="5"/>
      <x:c r="C10" s="5"/>
      <x:c r="D10" s="5"/>
      <x:c r="E10" s="5"/>
      <x:c r="F10" s="5"/>
      <x:c r="G10" s="5"/>
      <x:c r="H10" s="5"/>
      <x:c r="I10" s="5"/>
      <x:c r="J10" s="6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"/>
      <x:c r="B11" s="5"/>
      <x:c r="C11" s="5"/>
      <x:c r="D11" s="5"/>
      <x:c r="E11" s="5"/>
      <x:c r="F11" s="5"/>
      <x:c r="G11" s="5"/>
      <x:c r="H11" s="5"/>
      <x:c r="I11" s="5"/>
      <x:c r="J11" s="6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"/>
      <x:c r="B12" s="5"/>
      <x:c r="C12" s="5"/>
      <x:c r="D12" s="5"/>
      <x:c r="E12" s="5"/>
      <x:c r="F12" s="5"/>
      <x:c r="G12" s="5"/>
      <x:c r="H12" s="5"/>
      <x:c r="I12" s="5"/>
      <x:c r="J12" s="6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6"/>
      <x:c r="B13" s="5"/>
      <x:c r="C13" s="5"/>
      <x:c r="D13" s="5"/>
      <x:c r="E13" s="5"/>
      <x:c r="F13" s="5"/>
      <x:c r="G13" s="5"/>
      <x:c r="H13" s="5"/>
      <x:c r="I13" s="5"/>
      <x:c r="J13" s="6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6"/>
      <x:c r="B14" s="5"/>
      <x:c r="C14" s="5"/>
      <x:c r="D14" s="5"/>
      <x:c r="E14" s="5"/>
      <x:c r="F14" s="5"/>
      <x:c r="G14" s="5"/>
      <x:c r="H14" s="5"/>
      <x:c r="I14" s="5"/>
      <x:c r="J14" s="6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6"/>
      <x:c r="B15" s="5"/>
      <x:c r="C15" s="5"/>
      <x:c r="D15" s="5"/>
      <x:c r="E15" s="5"/>
      <x:c r="F15" s="5"/>
      <x:c r="G15" s="5"/>
      <x:c r="H15" s="5"/>
      <x:c r="I15" s="5"/>
      <x:c r="J15" s="6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6"/>
      <x:c r="B16" s="5"/>
      <x:c r="C16" s="5"/>
      <x:c r="D16" s="5"/>
      <x:c r="E16" s="5"/>
      <x:c r="F16" s="5"/>
      <x:c r="G16" s="5"/>
      <x:c r="H16" s="5"/>
      <x:c r="I16" s="5"/>
      <x:c r="J16" s="6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"/>
      <x:c r="B17" s="5"/>
      <x:c r="C17" s="5"/>
      <x:c r="D17" s="5"/>
      <x:c r="E17" s="5"/>
      <x:c r="F17" s="5"/>
      <x:c r="G17" s="5"/>
      <x:c r="H17" s="5"/>
      <x:c r="I17" s="5"/>
      <x:c r="J17" s="6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"/>
      <x:c r="B18" s="5"/>
      <x:c r="C18" s="5"/>
      <x:c r="D18" s="5"/>
      <x:c r="E18" s="5"/>
      <x:c r="F18" s="5"/>
      <x:c r="G18" s="5"/>
      <x:c r="H18" s="5"/>
      <x:c r="I18" s="5"/>
      <x:c r="J18" s="6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6"/>
      <x:c r="B19" s="5"/>
      <x:c r="C19" s="5"/>
      <x:c r="D19" s="5"/>
      <x:c r="E19" s="5"/>
      <x:c r="F19" s="5"/>
      <x:c r="G19" s="5"/>
      <x:c r="H19" s="5"/>
      <x:c r="I19" s="5"/>
      <x:c r="J19" s="6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6"/>
      <x:c r="B20" s="5"/>
      <x:c r="C20" s="5"/>
      <x:c r="D20" s="5"/>
      <x:c r="E20" s="5"/>
      <x:c r="F20" s="5"/>
      <x:c r="G20" s="5"/>
      <x:c r="H20" s="5"/>
      <x:c r="I20" s="5"/>
      <x:c r="J20" s="6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6"/>
      <x:c r="B21" s="5"/>
      <x:c r="C21" s="5"/>
      <x:c r="D21" s="5"/>
      <x:c r="E21" s="5"/>
      <x:c r="F21" s="5"/>
      <x:c r="G21" s="5"/>
      <x:c r="H21" s="5"/>
      <x:c r="I21" s="5"/>
      <x:c r="J21" s="6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6"/>
      <x:c r="B22" s="5"/>
      <x:c r="C22" s="5"/>
      <x:c r="D22" s="5"/>
      <x:c r="E22" s="5"/>
      <x:c r="F22" s="5"/>
      <x:c r="G22" s="5"/>
      <x:c r="H22" s="5"/>
      <x:c r="I22" s="5"/>
      <x:c r="J22" s="6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6"/>
      <x:c r="B23" s="5"/>
      <x:c r="C23" s="5"/>
      <x:c r="D23" s="5"/>
      <x:c r="E23" s="5"/>
      <x:c r="F23" s="5"/>
      <x:c r="G23" s="5"/>
      <x:c r="H23" s="5"/>
      <x:c r="I23" s="5"/>
      <x:c r="J23" s="6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6"/>
      <x:c r="B24" s="5"/>
      <x:c r="C24" s="5"/>
      <x:c r="D24" s="5"/>
      <x:c r="E24" s="5"/>
      <x:c r="F24" s="5"/>
      <x:c r="G24" s="5"/>
      <x:c r="H24" s="5"/>
      <x:c r="I24" s="5"/>
      <x:c r="J24" s="6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6"/>
      <x:c r="B25" s="5"/>
      <x:c r="C25" s="5"/>
      <x:c r="D25" s="5"/>
      <x:c r="E25" s="5"/>
      <x:c r="F25" s="5"/>
      <x:c r="G25" s="5"/>
      <x:c r="H25" s="5"/>
      <x:c r="I25" s="5"/>
      <x:c r="J25" s="6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6"/>
      <x:c r="B26" s="5"/>
      <x:c r="C26" s="5"/>
      <x:c r="D26" s="5"/>
      <x:c r="E26" s="5"/>
      <x:c r="F26" s="5"/>
      <x:c r="G26" s="5"/>
      <x:c r="H26" s="5"/>
      <x:c r="I26" s="5"/>
      <x:c r="J26" s="6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6"/>
      <x:c r="B27" s="5"/>
      <x:c r="C27" s="5"/>
      <x:c r="D27" s="5"/>
      <x:c r="E27" s="5"/>
      <x:c r="F27" s="5"/>
      <x:c r="G27" s="5"/>
      <x:c r="H27" s="5"/>
      <x:c r="I27" s="5"/>
      <x:c r="J27" s="6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6"/>
      <x:c r="B28" s="5"/>
      <x:c r="C28" s="5"/>
      <x:c r="D28" s="5"/>
      <x:c r="E28" s="5"/>
      <x:c r="F28" s="5"/>
      <x:c r="G28" s="5"/>
      <x:c r="H28" s="5"/>
      <x:c r="I28" s="5"/>
      <x:c r="J28" s="6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6"/>
      <x:c r="B29" s="5"/>
      <x:c r="C29" s="5"/>
      <x:c r="D29" s="5"/>
      <x:c r="E29" s="5"/>
      <x:c r="F29" s="5"/>
      <x:c r="G29" s="5"/>
      <x:c r="H29" s="5"/>
      <x:c r="I29" s="5"/>
      <x:c r="J29" s="6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6"/>
      <x:c r="B30" s="5"/>
      <x:c r="C30" s="5"/>
      <x:c r="D30" s="5"/>
      <x:c r="E30" s="5"/>
      <x:c r="F30" s="5"/>
      <x:c r="G30" s="5"/>
      <x:c r="H30" s="5"/>
      <x:c r="I30" s="5"/>
      <x:c r="J30" s="6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6"/>
      <x:c r="B31" s="5"/>
      <x:c r="C31" s="5"/>
      <x:c r="D31" s="5"/>
      <x:c r="E31" s="5"/>
      <x:c r="F31" s="5"/>
      <x:c r="G31" s="5"/>
      <x:c r="H31" s="5"/>
      <x:c r="I31" s="5"/>
      <x:c r="J31" s="6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6"/>
      <x:c r="B32" s="5"/>
      <x:c r="C32" s="5"/>
      <x:c r="D32" s="5"/>
      <x:c r="E32" s="5"/>
      <x:c r="F32" s="5"/>
      <x:c r="G32" s="5"/>
      <x:c r="H32" s="5"/>
      <x:c r="I32" s="5"/>
      <x:c r="J32" s="6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6"/>
      <x:c r="B33" s="5"/>
      <x:c r="C33" s="5"/>
      <x:c r="D33" s="5"/>
      <x:c r="E33" s="5"/>
      <x:c r="F33" s="5"/>
      <x:c r="G33" s="5"/>
      <x:c r="H33" s="5"/>
      <x:c r="I33" s="5"/>
      <x:c r="J33" s="6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6"/>
      <x:c r="B34" s="5"/>
      <x:c r="C34" s="5"/>
      <x:c r="D34" s="5"/>
      <x:c r="E34" s="5"/>
      <x:c r="F34" s="5"/>
      <x:c r="G34" s="5"/>
      <x:c r="H34" s="5"/>
      <x:c r="I34" s="5"/>
      <x:c r="J34" s="6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6"/>
      <x:c r="B35" s="5"/>
      <x:c r="C35" s="5"/>
      <x:c r="D35" s="5"/>
      <x:c r="E35" s="5"/>
      <x:c r="F35" s="5"/>
      <x:c r="G35" s="5"/>
      <x:c r="H35" s="5"/>
      <x:c r="I35" s="5"/>
      <x:c r="J35" s="6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6"/>
      <x:c r="B36" s="5"/>
      <x:c r="C36" s="5"/>
      <x:c r="D36" s="5"/>
      <x:c r="E36" s="5"/>
      <x:c r="F36" s="5"/>
      <x:c r="G36" s="5"/>
      <x:c r="H36" s="5"/>
      <x:c r="I36" s="5"/>
      <x:c r="J36" s="6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6"/>
      <x:c r="B37" s="5"/>
      <x:c r="C37" s="5"/>
      <x:c r="D37" s="5"/>
      <x:c r="E37" s="5"/>
      <x:c r="F37" s="5"/>
      <x:c r="G37" s="5"/>
      <x:c r="H37" s="5"/>
      <x:c r="I37" s="5"/>
      <x:c r="J37" s="6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6"/>
      <x:c r="B38" s="5"/>
      <x:c r="C38" s="5"/>
      <x:c r="D38" s="5"/>
      <x:c r="E38" s="5"/>
      <x:c r="F38" s="5"/>
      <x:c r="G38" s="5"/>
      <x:c r="H38" s="5"/>
      <x:c r="I38" s="5"/>
      <x:c r="J38" s="6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6"/>
      <x:c r="B39" s="5"/>
      <x:c r="C39" s="5"/>
      <x:c r="D39" s="5"/>
      <x:c r="E39" s="5"/>
      <x:c r="F39" s="5"/>
      <x:c r="G39" s="5"/>
      <x:c r="H39" s="5"/>
      <x:c r="I39" s="5"/>
      <x:c r="J39" s="6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6"/>
      <x:c r="B40" s="5"/>
      <x:c r="C40" s="5"/>
      <x:c r="D40" s="5"/>
      <x:c r="E40" s="5"/>
      <x:c r="F40" s="5"/>
      <x:c r="G40" s="5"/>
      <x:c r="H40" s="5"/>
      <x:c r="I40" s="5"/>
      <x:c r="J40" s="6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6"/>
      <x:c r="B41" s="5"/>
      <x:c r="C41" s="5"/>
      <x:c r="D41" s="5"/>
      <x:c r="E41" s="5"/>
      <x:c r="F41" s="5"/>
      <x:c r="G41" s="5"/>
      <x:c r="H41" s="5"/>
      <x:c r="I41" s="5"/>
      <x:c r="J41" s="6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6"/>
      <x:c r="B42" s="5"/>
      <x:c r="C42" s="5"/>
      <x:c r="D42" s="5"/>
      <x:c r="E42" s="5"/>
      <x:c r="F42" s="5"/>
      <x:c r="G42" s="5"/>
      <x:c r="H42" s="5"/>
      <x:c r="I42" s="5"/>
      <x:c r="J42" s="6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6"/>
      <x:c r="B43" s="5"/>
      <x:c r="C43" s="5"/>
      <x:c r="D43" s="5"/>
      <x:c r="E43" s="5"/>
      <x:c r="F43" s="5"/>
      <x:c r="G43" s="5"/>
      <x:c r="H43" s="5"/>
      <x:c r="I43" s="5"/>
      <x:c r="J43" s="6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6"/>
      <x:c r="B44" s="5"/>
      <x:c r="C44" s="5"/>
      <x:c r="D44" s="5"/>
      <x:c r="E44" s="5"/>
      <x:c r="F44" s="5"/>
      <x:c r="G44" s="5"/>
      <x:c r="H44" s="5"/>
      <x:c r="I44" s="5"/>
      <x:c r="J44" s="6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6"/>
      <x:c r="B45" s="5"/>
      <x:c r="C45" s="5"/>
      <x:c r="D45" s="5"/>
      <x:c r="E45" s="5"/>
      <x:c r="F45" s="5"/>
      <x:c r="G45" s="5"/>
      <x:c r="H45" s="5"/>
      <x:c r="I45" s="5"/>
      <x:c r="J45" s="6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6"/>
      <x:c r="B46" s="5"/>
      <x:c r="C46" s="5"/>
      <x:c r="D46" s="5"/>
      <x:c r="E46" s="5"/>
      <x:c r="F46" s="5"/>
      <x:c r="G46" s="5"/>
      <x:c r="H46" s="5"/>
      <x:c r="I46" s="5"/>
      <x:c r="J46" s="6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6"/>
      <x:c r="B47" s="5"/>
      <x:c r="C47" s="5"/>
      <x:c r="D47" s="5"/>
      <x:c r="E47" s="5"/>
      <x:c r="F47" s="5"/>
      <x:c r="G47" s="5"/>
      <x:c r="H47" s="5"/>
      <x:c r="I47" s="5"/>
      <x:c r="J47" s="6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6"/>
      <x:c r="B48" s="5"/>
      <x:c r="C48" s="5"/>
      <x:c r="D48" s="5"/>
      <x:c r="E48" s="5"/>
      <x:c r="F48" s="5"/>
      <x:c r="G48" s="5"/>
      <x:c r="H48" s="5"/>
      <x:c r="I48" s="5"/>
      <x:c r="J48" s="6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6"/>
      <x:c r="B49" s="5"/>
      <x:c r="C49" s="5"/>
      <x:c r="D49" s="5"/>
      <x:c r="E49" s="5"/>
      <x:c r="F49" s="5"/>
      <x:c r="G49" s="5"/>
      <x:c r="H49" s="5"/>
      <x:c r="I49" s="5"/>
      <x:c r="J49" s="6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6"/>
      <x:c r="B50" s="5"/>
      <x:c r="C50" s="5"/>
      <x:c r="D50" s="5"/>
      <x:c r="E50" s="5"/>
      <x:c r="F50" s="5"/>
      <x:c r="G50" s="5"/>
      <x:c r="H50" s="5"/>
      <x:c r="I50" s="5"/>
      <x:c r="J50" s="6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6"/>
      <x:c r="B51" s="5"/>
      <x:c r="C51" s="5"/>
      <x:c r="D51" s="5"/>
      <x:c r="E51" s="5"/>
      <x:c r="F51" s="5"/>
      <x:c r="G51" s="5"/>
      <x:c r="H51" s="5"/>
      <x:c r="I51" s="5"/>
      <x:c r="J51" s="6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6"/>
      <x:c r="B52" s="5"/>
      <x:c r="C52" s="5"/>
      <x:c r="D52" s="5"/>
      <x:c r="E52" s="5"/>
      <x:c r="F52" s="5"/>
      <x:c r="G52" s="5"/>
      <x:c r="H52" s="5"/>
      <x:c r="I52" s="5"/>
      <x:c r="J52" s="6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6"/>
      <x:c r="B53" s="5"/>
      <x:c r="C53" s="5"/>
      <x:c r="D53" s="5"/>
      <x:c r="E53" s="5"/>
      <x:c r="F53" s="5"/>
      <x:c r="G53" s="5"/>
      <x:c r="H53" s="5"/>
      <x:c r="I53" s="5"/>
      <x:c r="J53" s="6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6"/>
      <x:c r="B54" s="5"/>
      <x:c r="C54" s="5"/>
      <x:c r="D54" s="5"/>
      <x:c r="E54" s="5"/>
      <x:c r="F54" s="5"/>
      <x:c r="G54" s="5"/>
      <x:c r="H54" s="5"/>
      <x:c r="I54" s="5"/>
      <x:c r="J54" s="6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6"/>
      <x:c r="B55" s="5"/>
      <x:c r="C55" s="5"/>
      <x:c r="D55" s="5"/>
      <x:c r="E55" s="5"/>
      <x:c r="F55" s="5"/>
      <x:c r="G55" s="5"/>
      <x:c r="H55" s="5"/>
      <x:c r="I55" s="5"/>
      <x:c r="J55" s="6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6"/>
      <x:c r="B56" s="5"/>
      <x:c r="C56" s="5"/>
      <x:c r="D56" s="5"/>
      <x:c r="E56" s="5"/>
      <x:c r="F56" s="5"/>
      <x:c r="G56" s="5"/>
      <x:c r="H56" s="5"/>
      <x:c r="I56" s="5"/>
      <x:c r="J56" s="6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6"/>
      <x:c r="B57" s="5"/>
      <x:c r="C57" s="5"/>
      <x:c r="D57" s="5"/>
      <x:c r="E57" s="5"/>
      <x:c r="F57" s="5"/>
      <x:c r="G57" s="5"/>
      <x:c r="H57" s="5"/>
      <x:c r="I57" s="5"/>
      <x:c r="J57" s="6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6"/>
      <x:c r="B58" s="5"/>
      <x:c r="C58" s="5"/>
      <x:c r="D58" s="5"/>
      <x:c r="E58" s="5"/>
      <x:c r="F58" s="5"/>
      <x:c r="G58" s="5"/>
      <x:c r="H58" s="5"/>
      <x:c r="I58" s="5"/>
      <x:c r="J58" s="6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6"/>
      <x:c r="B59" s="5"/>
      <x:c r="C59" s="5"/>
      <x:c r="D59" s="5"/>
      <x:c r="E59" s="5"/>
      <x:c r="F59" s="5"/>
      <x:c r="G59" s="5"/>
      <x:c r="H59" s="5"/>
      <x:c r="I59" s="5"/>
      <x:c r="J59" s="6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6"/>
      <x:c r="B60" s="5"/>
      <x:c r="C60" s="5"/>
      <x:c r="D60" s="5"/>
      <x:c r="E60" s="5"/>
      <x:c r="F60" s="5"/>
      <x:c r="G60" s="5"/>
      <x:c r="H60" s="5"/>
      <x:c r="I60" s="5"/>
      <x:c r="J60" s="6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6"/>
      <x:c r="B61" s="5"/>
      <x:c r="C61" s="5"/>
      <x:c r="D61" s="5"/>
      <x:c r="E61" s="5"/>
      <x:c r="F61" s="5"/>
      <x:c r="G61" s="5"/>
      <x:c r="H61" s="5"/>
      <x:c r="I61" s="5"/>
      <x:c r="J61" s="6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6"/>
      <x:c r="B62" s="5"/>
      <x:c r="C62" s="5"/>
      <x:c r="D62" s="5"/>
      <x:c r="E62" s="5"/>
      <x:c r="F62" s="5"/>
      <x:c r="G62" s="5"/>
      <x:c r="H62" s="5"/>
      <x:c r="I62" s="5"/>
      <x:c r="J62" s="6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6"/>
      <x:c r="B63" s="5"/>
      <x:c r="C63" s="5"/>
      <x:c r="D63" s="5"/>
      <x:c r="E63" s="5"/>
      <x:c r="F63" s="5"/>
      <x:c r="G63" s="5"/>
      <x:c r="H63" s="5"/>
      <x:c r="I63" s="5"/>
      <x:c r="J63" s="6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6"/>
      <x:c r="B64" s="5"/>
      <x:c r="C64" s="5"/>
      <x:c r="D64" s="5"/>
      <x:c r="E64" s="5"/>
      <x:c r="F64" s="5"/>
      <x:c r="G64" s="5"/>
      <x:c r="H64" s="5"/>
      <x:c r="I64" s="5"/>
      <x:c r="J64" s="6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6"/>
      <x:c r="B65" s="5"/>
      <x:c r="C65" s="5"/>
      <x:c r="D65" s="5"/>
      <x:c r="E65" s="5"/>
      <x:c r="F65" s="5"/>
      <x:c r="G65" s="5"/>
      <x:c r="H65" s="5"/>
      <x:c r="I65" s="5"/>
      <x:c r="J65" s="6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6"/>
      <x:c r="B66" s="5"/>
      <x:c r="C66" s="5"/>
      <x:c r="D66" s="5"/>
      <x:c r="E66" s="5"/>
      <x:c r="F66" s="5"/>
      <x:c r="G66" s="5"/>
      <x:c r="H66" s="5"/>
      <x:c r="I66" s="5"/>
      <x:c r="J66" s="6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6"/>
      <x:c r="B67" s="5"/>
      <x:c r="C67" s="5"/>
      <x:c r="D67" s="5"/>
      <x:c r="E67" s="5"/>
      <x:c r="F67" s="5"/>
      <x:c r="G67" s="5"/>
      <x:c r="H67" s="5"/>
      <x:c r="I67" s="5"/>
      <x:c r="J67" s="6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6"/>
      <x:c r="B68" s="5"/>
      <x:c r="C68" s="5"/>
      <x:c r="D68" s="5"/>
      <x:c r="E68" s="5"/>
      <x:c r="F68" s="5"/>
      <x:c r="G68" s="5"/>
      <x:c r="H68" s="5"/>
      <x:c r="I68" s="5"/>
      <x:c r="J68" s="6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6"/>
      <x:c r="B69" s="5"/>
      <x:c r="C69" s="5"/>
      <x:c r="D69" s="5"/>
      <x:c r="E69" s="5"/>
      <x:c r="F69" s="5"/>
      <x:c r="G69" s="5"/>
      <x:c r="H69" s="5"/>
      <x:c r="I69" s="5"/>
      <x:c r="J69" s="6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6"/>
      <x:c r="B70" s="5"/>
      <x:c r="C70" s="5"/>
      <x:c r="D70" s="5"/>
      <x:c r="E70" s="5"/>
      <x:c r="F70" s="5"/>
      <x:c r="G70" s="5"/>
      <x:c r="H70" s="5"/>
      <x:c r="I70" s="5"/>
      <x:c r="J70" s="6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6"/>
      <x:c r="B71" s="5"/>
      <x:c r="C71" s="5"/>
      <x:c r="D71" s="5"/>
      <x:c r="E71" s="5"/>
      <x:c r="F71" s="5"/>
      <x:c r="G71" s="5"/>
      <x:c r="H71" s="5"/>
      <x:c r="I71" s="5"/>
      <x:c r="J71" s="6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6"/>
      <x:c r="B72" s="5"/>
      <x:c r="C72" s="5"/>
      <x:c r="D72" s="5"/>
      <x:c r="E72" s="5"/>
      <x:c r="F72" s="5"/>
      <x:c r="G72" s="5"/>
      <x:c r="H72" s="5"/>
      <x:c r="I72" s="5"/>
      <x:c r="J72" s="6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6"/>
      <x:c r="B73" s="5"/>
      <x:c r="C73" s="5"/>
      <x:c r="D73" s="5"/>
      <x:c r="E73" s="5"/>
      <x:c r="F73" s="5"/>
      <x:c r="G73" s="5"/>
      <x:c r="H73" s="5"/>
      <x:c r="I73" s="5"/>
      <x:c r="J73" s="6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6"/>
      <x:c r="B74" s="5"/>
      <x:c r="C74" s="5"/>
      <x:c r="D74" s="5"/>
      <x:c r="E74" s="5"/>
      <x:c r="F74" s="5"/>
      <x:c r="G74" s="5"/>
      <x:c r="H74" s="5"/>
      <x:c r="I74" s="5"/>
      <x:c r="J74" s="6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6"/>
      <x:c r="B75" s="5"/>
      <x:c r="C75" s="5"/>
      <x:c r="D75" s="5"/>
      <x:c r="E75" s="5"/>
      <x:c r="F75" s="5"/>
      <x:c r="G75" s="5"/>
      <x:c r="H75" s="5"/>
      <x:c r="I75" s="5"/>
      <x:c r="J75" s="6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6"/>
      <x:c r="B76" s="5"/>
      <x:c r="C76" s="5"/>
      <x:c r="D76" s="5"/>
      <x:c r="E76" s="5"/>
      <x:c r="F76" s="5"/>
      <x:c r="G76" s="5"/>
      <x:c r="H76" s="5"/>
      <x:c r="I76" s="5"/>
      <x:c r="J76" s="6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6"/>
      <x:c r="B77" s="5"/>
      <x:c r="C77" s="5"/>
      <x:c r="D77" s="5"/>
      <x:c r="E77" s="5"/>
      <x:c r="F77" s="5"/>
      <x:c r="G77" s="5"/>
      <x:c r="H77" s="5"/>
      <x:c r="I77" s="5"/>
      <x:c r="J77" s="6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6"/>
      <x:c r="B78" s="5"/>
      <x:c r="C78" s="5"/>
      <x:c r="D78" s="5"/>
      <x:c r="E78" s="5"/>
      <x:c r="F78" s="5"/>
      <x:c r="G78" s="5"/>
      <x:c r="H78" s="5"/>
      <x:c r="I78" s="5"/>
      <x:c r="J78" s="6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6"/>
      <x:c r="B79" s="5"/>
      <x:c r="C79" s="5"/>
      <x:c r="D79" s="5"/>
      <x:c r="E79" s="5"/>
      <x:c r="F79" s="5"/>
      <x:c r="G79" s="5"/>
      <x:c r="H79" s="5"/>
      <x:c r="I79" s="5"/>
      <x:c r="J79" s="6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6"/>
      <x:c r="B80" s="5"/>
      <x:c r="C80" s="5"/>
      <x:c r="D80" s="5"/>
      <x:c r="E80" s="5"/>
      <x:c r="F80" s="5"/>
      <x:c r="G80" s="5"/>
      <x:c r="H80" s="5"/>
      <x:c r="I80" s="5"/>
      <x:c r="J80" s="6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6"/>
      <x:c r="B81" s="5"/>
      <x:c r="C81" s="5"/>
      <x:c r="D81" s="5"/>
      <x:c r="E81" s="5"/>
      <x:c r="F81" s="5"/>
      <x:c r="G81" s="5"/>
      <x:c r="H81" s="5"/>
      <x:c r="I81" s="5"/>
      <x:c r="J81" s="6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6"/>
      <x:c r="B82" s="5"/>
      <x:c r="C82" s="5"/>
      <x:c r="D82" s="5"/>
      <x:c r="E82" s="5"/>
      <x:c r="F82" s="5"/>
      <x:c r="G82" s="5"/>
      <x:c r="H82" s="5"/>
      <x:c r="I82" s="5"/>
      <x:c r="J82" s="6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6"/>
      <x:c r="B83" s="5"/>
      <x:c r="C83" s="5"/>
      <x:c r="D83" s="5"/>
      <x:c r="E83" s="5"/>
      <x:c r="F83" s="5"/>
      <x:c r="G83" s="5"/>
      <x:c r="H83" s="5"/>
      <x:c r="I83" s="5"/>
      <x:c r="J83" s="6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6"/>
      <x:c r="B84" s="5"/>
      <x:c r="C84" s="5"/>
      <x:c r="D84" s="5"/>
      <x:c r="E84" s="5"/>
      <x:c r="F84" s="5"/>
      <x:c r="G84" s="5"/>
      <x:c r="H84" s="5"/>
      <x:c r="I84" s="5"/>
      <x:c r="J84" s="6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6"/>
      <x:c r="B85" s="5"/>
      <x:c r="C85" s="5"/>
      <x:c r="D85" s="5"/>
      <x:c r="E85" s="5"/>
      <x:c r="F85" s="5"/>
      <x:c r="G85" s="5"/>
      <x:c r="H85" s="5"/>
      <x:c r="I85" s="5"/>
      <x:c r="J85" s="6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6"/>
      <x:c r="B86" s="5"/>
      <x:c r="C86" s="5"/>
      <x:c r="D86" s="5"/>
      <x:c r="E86" s="5"/>
      <x:c r="F86" s="5"/>
      <x:c r="G86" s="5"/>
      <x:c r="H86" s="5"/>
      <x:c r="I86" s="5"/>
      <x:c r="J86" s="6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6"/>
      <x:c r="B87" s="5"/>
      <x:c r="C87" s="5"/>
      <x:c r="D87" s="5"/>
      <x:c r="E87" s="5"/>
      <x:c r="F87" s="5"/>
      <x:c r="G87" s="5"/>
      <x:c r="H87" s="5"/>
      <x:c r="I87" s="5"/>
      <x:c r="J87" s="6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6"/>
      <x:c r="B88" s="5"/>
      <x:c r="C88" s="5"/>
      <x:c r="D88" s="5"/>
      <x:c r="E88" s="5"/>
      <x:c r="F88" s="5"/>
      <x:c r="G88" s="5"/>
      <x:c r="H88" s="5"/>
      <x:c r="I88" s="5"/>
      <x:c r="J88" s="6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6"/>
      <x:c r="B89" s="5"/>
      <x:c r="C89" s="5"/>
      <x:c r="D89" s="5"/>
      <x:c r="E89" s="5"/>
      <x:c r="F89" s="5"/>
      <x:c r="G89" s="5"/>
      <x:c r="H89" s="5"/>
      <x:c r="I89" s="5"/>
      <x:c r="J89" s="6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6"/>
      <x:c r="B90" s="5"/>
      <x:c r="C90" s="5"/>
      <x:c r="D90" s="5"/>
      <x:c r="E90" s="5"/>
      <x:c r="F90" s="5"/>
      <x:c r="G90" s="5"/>
      <x:c r="H90" s="5"/>
      <x:c r="I90" s="5"/>
      <x:c r="J90" s="6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6"/>
      <x:c r="B91" s="5"/>
      <x:c r="C91" s="5"/>
      <x:c r="D91" s="5"/>
      <x:c r="E91" s="5"/>
      <x:c r="F91" s="5"/>
      <x:c r="G91" s="5"/>
      <x:c r="H91" s="5"/>
      <x:c r="I91" s="5"/>
      <x:c r="J91" s="6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6"/>
      <x:c r="B92" s="5"/>
      <x:c r="C92" s="5"/>
      <x:c r="D92" s="5"/>
      <x:c r="E92" s="5"/>
      <x:c r="F92" s="5"/>
      <x:c r="G92" s="5"/>
      <x:c r="H92" s="5"/>
      <x:c r="I92" s="5"/>
      <x:c r="J92" s="6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6"/>
      <x:c r="B93" s="5"/>
      <x:c r="C93" s="5"/>
      <x:c r="D93" s="5"/>
      <x:c r="E93" s="5"/>
      <x:c r="F93" s="5"/>
      <x:c r="G93" s="5"/>
      <x:c r="H93" s="5"/>
      <x:c r="I93" s="5"/>
      <x:c r="J93" s="6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6"/>
      <x:c r="B94" s="5"/>
      <x:c r="C94" s="5"/>
      <x:c r="D94" s="5"/>
      <x:c r="E94" s="5"/>
      <x:c r="F94" s="5"/>
      <x:c r="G94" s="5"/>
      <x:c r="H94" s="5"/>
      <x:c r="I94" s="5"/>
      <x:c r="J94" s="6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6"/>
      <x:c r="B95" s="5"/>
      <x:c r="C95" s="5"/>
      <x:c r="D95" s="5"/>
      <x:c r="E95" s="5"/>
      <x:c r="F95" s="5"/>
      <x:c r="G95" s="5"/>
      <x:c r="H95" s="5"/>
      <x:c r="I95" s="5"/>
      <x:c r="J95" s="6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6"/>
      <x:c r="B96" s="5"/>
      <x:c r="C96" s="5"/>
      <x:c r="D96" s="5"/>
      <x:c r="E96" s="5"/>
      <x:c r="F96" s="5"/>
      <x:c r="G96" s="5"/>
      <x:c r="H96" s="5"/>
      <x:c r="I96" s="5"/>
      <x:c r="J96" s="6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6"/>
      <x:c r="B97" s="5"/>
      <x:c r="C97" s="5"/>
      <x:c r="D97" s="5"/>
      <x:c r="E97" s="5"/>
      <x:c r="F97" s="5"/>
      <x:c r="G97" s="5"/>
      <x:c r="H97" s="5"/>
      <x:c r="I97" s="5"/>
      <x:c r="J97" s="6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6"/>
      <x:c r="B98" s="5"/>
      <x:c r="C98" s="5"/>
      <x:c r="D98" s="5"/>
      <x:c r="E98" s="5"/>
      <x:c r="F98" s="5"/>
      <x:c r="G98" s="5"/>
      <x:c r="H98" s="5"/>
      <x:c r="I98" s="5"/>
      <x:c r="J98" s="6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6"/>
      <x:c r="B99" s="5"/>
      <x:c r="C99" s="5"/>
      <x:c r="D99" s="5"/>
      <x:c r="E99" s="5"/>
      <x:c r="F99" s="5"/>
      <x:c r="G99" s="5"/>
      <x:c r="H99" s="5"/>
      <x:c r="I99" s="5"/>
      <x:c r="J99" s="6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6"/>
      <x:c r="B100" s="5"/>
      <x:c r="C100" s="5"/>
      <x:c r="D100" s="5"/>
      <x:c r="E100" s="5"/>
      <x:c r="F100" s="5"/>
      <x:c r="G100" s="5"/>
      <x:c r="H100" s="5"/>
      <x:c r="I100" s="5"/>
      <x:c r="J100" s="6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3">
    <x:dataValidation type="list" sqref="E2:E100">
      <x:formula1>"Email,Phone,In Person,LinkedIn,Coffee,Demo,Research,Other"</x:formula1>
    </x:dataValidation>
    <x:dataValidation type="list" sqref="F2:F100">
      <x:formula1>"Outbound,Inbound,Internal"</x:formula1>
    </x:dataValidation>
    <x:dataValidation type="list" sqref="H2:H100">
      <x:formula1>"Pending,Open,Positive,Needs Follow-up,Demo Scheduled,No Response,Not Interested,Closed"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a7ed8ba43a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329999923706055" hidden="0" customWidth="1"/>
    <x:col min="3" max="3" width="12.220000267028809" hidden="0" customWidth="1"/>
    <x:col min="4" max="4" width="12.220000267028809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10" hidden="0" customWidth="1"/>
    <x:col min="10" max="10" width="11.670000076293945" hidden="0" customWidth="1"/>
    <x:col min="11" max="11" width="18.889999389648438" hidden="0" customWidth="1"/>
    <x:col min="12" max="12" width="14.4399995803833" hidden="0" customWidth="1"/>
    <x:col min="13" max="13" width="31.110000610351562" hidden="0" customWidth="1"/>
  </x:cols>
  <x:sheetData>
    <x:row r="1">
      <x:c r="A1" s="4" t="str">
        <x:v>Agency ID</x:v>
      </x:c>
      <x:c r="B1" s="4" t="str">
        <x:v>Branch ID</x:v>
      </x:c>
      <x:c r="C1" s="4" t="str">
        <x:v>Pilot Start</x:v>
      </x:c>
      <x:c r="D1" s="4" t="str">
        <x:v>Pilot End</x:v>
      </x:c>
      <x:c r="E1" s="4" t="str">
        <x:v>Invites</x:v>
      </x:c>
      <x:c r="F1" s="4" t="str">
        <x:v>Started</x:v>
      </x:c>
      <x:c r="G1" s="4" t="str">
        <x:v>Ready</x:v>
      </x:c>
      <x:c r="H1" s="4" t="str">
        <x:v>Shared</x:v>
      </x:c>
      <x:c r="I1" s="4" t="str">
        <x:v>Placements</x:v>
      </x:c>
      <x:c r="J1" s="4" t="str">
        <x:v>Avg Score Lift</x:v>
      </x:c>
      <x:c r="K1" s="4" t="str">
        <x:v>Est. Recruiter Hours Saved</x:v>
      </x:c>
      <x:c r="L1" s="4" t="str">
        <x:v>Decision</x:v>
      </x:c>
      <x:c r="M1" s="4" t="str">
        <x:v>Notes</x:v>
      </x:c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AGY-001</x:v>
      </x:c>
      <x:c r="B2" s="5" t="str">
        <x:v>demo-champaign-agency-2026</x:v>
      </x:c>
      <x:c r="C2" s="6" t="str"/>
      <x:c r="D2" s="6" t="str"/>
      <x:c r="E2" s="5" t="n">
        <x:v>20</x:v>
      </x:c>
      <x:c r="F2" s="5" t="n">
        <x:v>0</x:v>
      </x:c>
      <x:c r="G2" s="5" t="n">
        <x:v>0</x:v>
      </x:c>
      <x:c r="H2" s="5" t="n">
        <x:v>0</x:v>
      </x:c>
      <x:c r="I2" s="5" t="n">
        <x:v>0</x:v>
      </x:c>
      <x:c r="J2" s="5" t="n">
        <x:v>0</x:v>
      </x:c>
      <x:c r="K2" s="5" t="n">
        <x:f>IFERROR(H2*0.5,0)</x:f>
        <x:v>0</x:v>
      </x:c>
      <x:c r="L2" s="5" t="str">
        <x:v>Not Started</x:v>
      </x:c>
      <x:c r="M2" s="5" t="str">
        <x:v>Use for demo until first live pilot starts</x:v>
      </x:c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/>
      <x:c r="B3" s="5"/>
      <x:c r="C3" s="6"/>
      <x:c r="D3" s="6"/>
      <x:c r="E3" s="5"/>
      <x:c r="F3" s="5"/>
      <x:c r="G3" s="5"/>
      <x:c r="H3" s="5"/>
      <x:c r="I3" s="5"/>
      <x:c r="J3" s="5"/>
      <x:c r="K3" s="5" t="n">
        <x:f>IFERROR(H3*0.5,0)</x:f>
        <x:v>0</x:v>
      </x:c>
      <x:c r="L3" s="5"/>
      <x:c r="M3" s="5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"/>
      <x:c r="B4" s="5"/>
      <x:c r="C4" s="6"/>
      <x:c r="D4" s="6"/>
      <x:c r="E4" s="5"/>
      <x:c r="F4" s="5"/>
      <x:c r="G4" s="5"/>
      <x:c r="H4" s="5"/>
      <x:c r="I4" s="5"/>
      <x:c r="J4" s="5"/>
      <x:c r="K4" s="5" t="n">
        <x:f>IFERROR(H4*0.5,0)</x:f>
        <x:v>0</x:v>
      </x:c>
      <x:c r="L4" s="5"/>
      <x:c r="M4" s="5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"/>
      <x:c r="B5" s="5"/>
      <x:c r="C5" s="6"/>
      <x:c r="D5" s="6"/>
      <x:c r="E5" s="5"/>
      <x:c r="F5" s="5"/>
      <x:c r="G5" s="5"/>
      <x:c r="H5" s="5"/>
      <x:c r="I5" s="5"/>
      <x:c r="J5" s="5"/>
      <x:c r="K5" s="5" t="n">
        <x:f>IFERROR(H5*0.5,0)</x:f>
        <x:v>0</x:v>
      </x:c>
      <x:c r="L5" s="5"/>
      <x:c r="M5" s="5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"/>
      <x:c r="B6" s="5"/>
      <x:c r="C6" s="6"/>
      <x:c r="D6" s="6"/>
      <x:c r="E6" s="5"/>
      <x:c r="F6" s="5"/>
      <x:c r="G6" s="5"/>
      <x:c r="H6" s="5"/>
      <x:c r="I6" s="5"/>
      <x:c r="J6" s="5"/>
      <x:c r="K6" s="5" t="n">
        <x:f>IFERROR(H6*0.5,0)</x:f>
        <x:v>0</x:v>
      </x:c>
      <x:c r="L6" s="5"/>
      <x:c r="M6" s="5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/>
      <x:c r="B7" s="5"/>
      <x:c r="C7" s="6"/>
      <x:c r="D7" s="6"/>
      <x:c r="E7" s="5"/>
      <x:c r="F7" s="5"/>
      <x:c r="G7" s="5"/>
      <x:c r="H7" s="5"/>
      <x:c r="I7" s="5"/>
      <x:c r="J7" s="5"/>
      <x:c r="K7" s="5" t="n">
        <x:f>IFERROR(H7*0.5,0)</x:f>
        <x:v>0</x:v>
      </x:c>
      <x:c r="L7" s="5"/>
      <x:c r="M7" s="5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"/>
      <x:c r="B8" s="5"/>
      <x:c r="C8" s="6"/>
      <x:c r="D8" s="6"/>
      <x:c r="E8" s="5"/>
      <x:c r="F8" s="5"/>
      <x:c r="G8" s="5"/>
      <x:c r="H8" s="5"/>
      <x:c r="I8" s="5"/>
      <x:c r="J8" s="5"/>
      <x:c r="K8" s="5" t="n">
        <x:f>IFERROR(H8*0.5,0)</x:f>
        <x:v>0</x:v>
      </x:c>
      <x:c r="L8" s="5"/>
      <x:c r="M8" s="5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"/>
      <x:c r="B9" s="5"/>
      <x:c r="C9" s="6"/>
      <x:c r="D9" s="6"/>
      <x:c r="E9" s="5"/>
      <x:c r="F9" s="5"/>
      <x:c r="G9" s="5"/>
      <x:c r="H9" s="5"/>
      <x:c r="I9" s="5"/>
      <x:c r="J9" s="5"/>
      <x:c r="K9" s="5" t="n">
        <x:f>IFERROR(H9*0.5,0)</x:f>
        <x:v>0</x:v>
      </x:c>
      <x:c r="L9" s="5"/>
      <x:c r="M9" s="5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"/>
      <x:c r="B10" s="5"/>
      <x:c r="C10" s="6"/>
      <x:c r="D10" s="6"/>
      <x:c r="E10" s="5"/>
      <x:c r="F10" s="5"/>
      <x:c r="G10" s="5"/>
      <x:c r="H10" s="5"/>
      <x:c r="I10" s="5"/>
      <x:c r="J10" s="5"/>
      <x:c r="K10" s="5" t="n">
        <x:f>IFERROR(H10*0.5,0)</x:f>
        <x:v>0</x:v>
      </x:c>
      <x:c r="L10" s="5"/>
      <x:c r="M10" s="5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"/>
      <x:c r="B11" s="5"/>
      <x:c r="C11" s="6"/>
      <x:c r="D11" s="6"/>
      <x:c r="E11" s="5"/>
      <x:c r="F11" s="5"/>
      <x:c r="G11" s="5"/>
      <x:c r="H11" s="5"/>
      <x:c r="I11" s="5"/>
      <x:c r="J11" s="5"/>
      <x:c r="K11" s="5" t="n">
        <x:f>IFERROR(H11*0.5,0)</x:f>
        <x:v>0</x:v>
      </x:c>
      <x:c r="L11" s="5"/>
      <x:c r="M11" s="5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"/>
      <x:c r="B12" s="5"/>
      <x:c r="C12" s="6"/>
      <x:c r="D12" s="6"/>
      <x:c r="E12" s="5"/>
      <x:c r="F12" s="5"/>
      <x:c r="G12" s="5"/>
      <x:c r="H12" s="5"/>
      <x:c r="I12" s="5"/>
      <x:c r="J12" s="5"/>
      <x:c r="K12" s="5" t="n">
        <x:f>IFERROR(H12*0.5,0)</x:f>
        <x:v>0</x:v>
      </x:c>
      <x:c r="L12" s="5"/>
      <x:c r="M12" s="5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"/>
      <x:c r="B13" s="5"/>
      <x:c r="C13" s="6"/>
      <x:c r="D13" s="6"/>
      <x:c r="E13" s="5"/>
      <x:c r="F13" s="5"/>
      <x:c r="G13" s="5"/>
      <x:c r="H13" s="5"/>
      <x:c r="I13" s="5"/>
      <x:c r="J13" s="5"/>
      <x:c r="K13" s="5" t="n">
        <x:f>IFERROR(H13*0.5,0)</x:f>
        <x:v>0</x:v>
      </x:c>
      <x:c r="L13" s="5"/>
      <x:c r="M13" s="5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"/>
      <x:c r="B14" s="5"/>
      <x:c r="C14" s="6"/>
      <x:c r="D14" s="6"/>
      <x:c r="E14" s="5"/>
      <x:c r="F14" s="5"/>
      <x:c r="G14" s="5"/>
      <x:c r="H14" s="5"/>
      <x:c r="I14" s="5"/>
      <x:c r="J14" s="5"/>
      <x:c r="K14" s="5" t="n">
        <x:f>IFERROR(H14*0.5,0)</x:f>
        <x:v>0</x:v>
      </x:c>
      <x:c r="L14" s="5"/>
      <x:c r="M14" s="5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"/>
      <x:c r="B15" s="5"/>
      <x:c r="C15" s="6"/>
      <x:c r="D15" s="6"/>
      <x:c r="E15" s="5"/>
      <x:c r="F15" s="5"/>
      <x:c r="G15" s="5"/>
      <x:c r="H15" s="5"/>
      <x:c r="I15" s="5"/>
      <x:c r="J15" s="5"/>
      <x:c r="K15" s="5" t="n">
        <x:f>IFERROR(H15*0.5,0)</x:f>
        <x:v>0</x:v>
      </x:c>
      <x:c r="L15" s="5"/>
      <x:c r="M15" s="5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"/>
      <x:c r="B16" s="5"/>
      <x:c r="C16" s="6"/>
      <x:c r="D16" s="6"/>
      <x:c r="E16" s="5"/>
      <x:c r="F16" s="5"/>
      <x:c r="G16" s="5"/>
      <x:c r="H16" s="5"/>
      <x:c r="I16" s="5"/>
      <x:c r="J16" s="5"/>
      <x:c r="K16" s="5" t="n">
        <x:f>IFERROR(H16*0.5,0)</x:f>
        <x:v>0</x:v>
      </x:c>
      <x:c r="L16" s="5"/>
      <x:c r="M16" s="5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"/>
      <x:c r="B17" s="5"/>
      <x:c r="C17" s="6"/>
      <x:c r="D17" s="6"/>
      <x:c r="E17" s="5"/>
      <x:c r="F17" s="5"/>
      <x:c r="G17" s="5"/>
      <x:c r="H17" s="5"/>
      <x:c r="I17" s="5"/>
      <x:c r="J17" s="5"/>
      <x:c r="K17" s="5" t="n">
        <x:f>IFERROR(H17*0.5,0)</x:f>
        <x:v>0</x:v>
      </x:c>
      <x:c r="L17" s="5"/>
      <x:c r="M17" s="5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"/>
      <x:c r="B18" s="5"/>
      <x:c r="C18" s="6"/>
      <x:c r="D18" s="6"/>
      <x:c r="E18" s="5"/>
      <x:c r="F18" s="5"/>
      <x:c r="G18" s="5"/>
      <x:c r="H18" s="5"/>
      <x:c r="I18" s="5"/>
      <x:c r="J18" s="5"/>
      <x:c r="K18" s="5" t="n">
        <x:f>IFERROR(H18*0.5,0)</x:f>
        <x:v>0</x:v>
      </x:c>
      <x:c r="L18" s="5"/>
      <x:c r="M18" s="5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"/>
      <x:c r="B19" s="5"/>
      <x:c r="C19" s="6"/>
      <x:c r="D19" s="6"/>
      <x:c r="E19" s="5"/>
      <x:c r="F19" s="5"/>
      <x:c r="G19" s="5"/>
      <x:c r="H19" s="5"/>
      <x:c r="I19" s="5"/>
      <x:c r="J19" s="5"/>
      <x:c r="K19" s="5" t="n">
        <x:f>IFERROR(H19*0.5,0)</x:f>
        <x:v>0</x:v>
      </x:c>
      <x:c r="L19" s="5"/>
      <x:c r="M19" s="5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"/>
      <x:c r="B20" s="5"/>
      <x:c r="C20" s="6"/>
      <x:c r="D20" s="6"/>
      <x:c r="E20" s="5"/>
      <x:c r="F20" s="5"/>
      <x:c r="G20" s="5"/>
      <x:c r="H20" s="5"/>
      <x:c r="I20" s="5"/>
      <x:c r="J20" s="5"/>
      <x:c r="K20" s="5" t="n">
        <x:f>IFERROR(H20*0.5,0)</x:f>
        <x:v>0</x:v>
      </x:c>
      <x:c r="L20" s="5"/>
      <x:c r="M20" s="5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"/>
      <x:c r="B21" s="5"/>
      <x:c r="C21" s="6"/>
      <x:c r="D21" s="6"/>
      <x:c r="E21" s="5"/>
      <x:c r="F21" s="5"/>
      <x:c r="G21" s="5"/>
      <x:c r="H21" s="5"/>
      <x:c r="I21" s="5"/>
      <x:c r="J21" s="5"/>
      <x:c r="K21" s="5" t="n">
        <x:f>IFERROR(H21*0.5,0)</x:f>
        <x:v>0</x:v>
      </x:c>
      <x:c r="L21" s="5"/>
      <x:c r="M21" s="5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"/>
      <x:c r="B22" s="5"/>
      <x:c r="C22" s="6"/>
      <x:c r="D22" s="6"/>
      <x:c r="E22" s="5"/>
      <x:c r="F22" s="5"/>
      <x:c r="G22" s="5"/>
      <x:c r="H22" s="5"/>
      <x:c r="I22" s="5"/>
      <x:c r="J22" s="5"/>
      <x:c r="K22" s="5" t="n">
        <x:f>IFERROR(H22*0.5,0)</x:f>
        <x:v>0</x:v>
      </x:c>
      <x:c r="L22" s="5"/>
      <x:c r="M22" s="5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"/>
      <x:c r="B23" s="5"/>
      <x:c r="C23" s="6"/>
      <x:c r="D23" s="6"/>
      <x:c r="E23" s="5"/>
      <x:c r="F23" s="5"/>
      <x:c r="G23" s="5"/>
      <x:c r="H23" s="5"/>
      <x:c r="I23" s="5"/>
      <x:c r="J23" s="5"/>
      <x:c r="K23" s="5" t="n">
        <x:f>IFERROR(H23*0.5,0)</x:f>
        <x:v>0</x:v>
      </x:c>
      <x:c r="L23" s="5"/>
      <x:c r="M23" s="5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"/>
      <x:c r="B24" s="5"/>
      <x:c r="C24" s="6"/>
      <x:c r="D24" s="6"/>
      <x:c r="E24" s="5"/>
      <x:c r="F24" s="5"/>
      <x:c r="G24" s="5"/>
      <x:c r="H24" s="5"/>
      <x:c r="I24" s="5"/>
      <x:c r="J24" s="5"/>
      <x:c r="K24" s="5" t="n">
        <x:f>IFERROR(H24*0.5,0)</x:f>
        <x:v>0</x:v>
      </x:c>
      <x:c r="L24" s="5"/>
      <x:c r="M24" s="5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"/>
      <x:c r="B25" s="5"/>
      <x:c r="C25" s="6"/>
      <x:c r="D25" s="6"/>
      <x:c r="E25" s="5"/>
      <x:c r="F25" s="5"/>
      <x:c r="G25" s="5"/>
      <x:c r="H25" s="5"/>
      <x:c r="I25" s="5"/>
      <x:c r="J25" s="5"/>
      <x:c r="K25" s="5" t="n">
        <x:f>IFERROR(H25*0.5,0)</x:f>
        <x:v>0</x:v>
      </x:c>
      <x:c r="L25" s="5"/>
      <x:c r="M25" s="5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"/>
      <x:c r="B26" s="5"/>
      <x:c r="C26" s="6"/>
      <x:c r="D26" s="6"/>
      <x:c r="E26" s="5"/>
      <x:c r="F26" s="5"/>
      <x:c r="G26" s="5"/>
      <x:c r="H26" s="5"/>
      <x:c r="I26" s="5"/>
      <x:c r="J26" s="5"/>
      <x:c r="K26" s="5" t="n">
        <x:f>IFERROR(H26*0.5,0)</x:f>
        <x:v>0</x:v>
      </x:c>
      <x:c r="L26" s="5"/>
      <x:c r="M26" s="5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"/>
      <x:c r="B27" s="5"/>
      <x:c r="C27" s="6"/>
      <x:c r="D27" s="6"/>
      <x:c r="E27" s="5"/>
      <x:c r="F27" s="5"/>
      <x:c r="G27" s="5"/>
      <x:c r="H27" s="5"/>
      <x:c r="I27" s="5"/>
      <x:c r="J27" s="5"/>
      <x:c r="K27" s="5" t="n">
        <x:f>IFERROR(H27*0.5,0)</x:f>
        <x:v>0</x:v>
      </x:c>
      <x:c r="L27" s="5"/>
      <x:c r="M27" s="5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5"/>
      <x:c r="B28" s="5"/>
      <x:c r="C28" s="6"/>
      <x:c r="D28" s="6"/>
      <x:c r="E28" s="5"/>
      <x:c r="F28" s="5"/>
      <x:c r="G28" s="5"/>
      <x:c r="H28" s="5"/>
      <x:c r="I28" s="5"/>
      <x:c r="J28" s="5"/>
      <x:c r="K28" s="5" t="n">
        <x:f>IFERROR(H28*0.5,0)</x:f>
        <x:v>0</x:v>
      </x:c>
      <x:c r="L28" s="5"/>
      <x:c r="M28" s="5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5"/>
      <x:c r="B29" s="5"/>
      <x:c r="C29" s="6"/>
      <x:c r="D29" s="6"/>
      <x:c r="E29" s="5"/>
      <x:c r="F29" s="5"/>
      <x:c r="G29" s="5"/>
      <x:c r="H29" s="5"/>
      <x:c r="I29" s="5"/>
      <x:c r="J29" s="5"/>
      <x:c r="K29" s="5" t="n">
        <x:f>IFERROR(H29*0.5,0)</x:f>
        <x:v>0</x:v>
      </x:c>
      <x:c r="L29" s="5"/>
      <x:c r="M29" s="5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5"/>
      <x:c r="B30" s="5"/>
      <x:c r="C30" s="6"/>
      <x:c r="D30" s="6"/>
      <x:c r="E30" s="5"/>
      <x:c r="F30" s="5"/>
      <x:c r="G30" s="5"/>
      <x:c r="H30" s="5"/>
      <x:c r="I30" s="5"/>
      <x:c r="J30" s="5"/>
      <x:c r="K30" s="5" t="n">
        <x:f>IFERROR(H30*0.5,0)</x:f>
        <x:v>0</x:v>
      </x:c>
      <x:c r="L30" s="5"/>
      <x:c r="M30" s="5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5"/>
      <x:c r="B31" s="5"/>
      <x:c r="C31" s="6"/>
      <x:c r="D31" s="6"/>
      <x:c r="E31" s="5"/>
      <x:c r="F31" s="5"/>
      <x:c r="G31" s="5"/>
      <x:c r="H31" s="5"/>
      <x:c r="I31" s="5"/>
      <x:c r="J31" s="5"/>
      <x:c r="K31" s="5" t="n">
        <x:f>IFERROR(H31*0.5,0)</x:f>
        <x:v>0</x:v>
      </x:c>
      <x:c r="L31" s="5"/>
      <x:c r="M31" s="5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5"/>
      <x:c r="B32" s="5"/>
      <x:c r="C32" s="6"/>
      <x:c r="D32" s="6"/>
      <x:c r="E32" s="5"/>
      <x:c r="F32" s="5"/>
      <x:c r="G32" s="5"/>
      <x:c r="H32" s="5"/>
      <x:c r="I32" s="5"/>
      <x:c r="J32" s="5"/>
      <x:c r="K32" s="5" t="n">
        <x:f>IFERROR(H32*0.5,0)</x:f>
        <x:v>0</x:v>
      </x:c>
      <x:c r="L32" s="5"/>
      <x:c r="M32" s="5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5"/>
      <x:c r="B33" s="5"/>
      <x:c r="C33" s="6"/>
      <x:c r="D33" s="6"/>
      <x:c r="E33" s="5"/>
      <x:c r="F33" s="5"/>
      <x:c r="G33" s="5"/>
      <x:c r="H33" s="5"/>
      <x:c r="I33" s="5"/>
      <x:c r="J33" s="5"/>
      <x:c r="K33" s="5" t="n">
        <x:f>IFERROR(H33*0.5,0)</x:f>
        <x:v>0</x:v>
      </x:c>
      <x:c r="L33" s="5"/>
      <x:c r="M33" s="5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5"/>
      <x:c r="B34" s="5"/>
      <x:c r="C34" s="6"/>
      <x:c r="D34" s="6"/>
      <x:c r="E34" s="5"/>
      <x:c r="F34" s="5"/>
      <x:c r="G34" s="5"/>
      <x:c r="H34" s="5"/>
      <x:c r="I34" s="5"/>
      <x:c r="J34" s="5"/>
      <x:c r="K34" s="5" t="n">
        <x:f>IFERROR(H34*0.5,0)</x:f>
        <x:v>0</x:v>
      </x:c>
      <x:c r="L34" s="5"/>
      <x:c r="M34" s="5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5"/>
      <x:c r="B35" s="5"/>
      <x:c r="C35" s="6"/>
      <x:c r="D35" s="6"/>
      <x:c r="E35" s="5"/>
      <x:c r="F35" s="5"/>
      <x:c r="G35" s="5"/>
      <x:c r="H35" s="5"/>
      <x:c r="I35" s="5"/>
      <x:c r="J35" s="5"/>
      <x:c r="K35" s="5" t="n">
        <x:f>IFERROR(H35*0.5,0)</x:f>
        <x:v>0</x:v>
      </x:c>
      <x:c r="L35" s="5"/>
      <x:c r="M35" s="5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5"/>
      <x:c r="B36" s="5"/>
      <x:c r="C36" s="6"/>
      <x:c r="D36" s="6"/>
      <x:c r="E36" s="5"/>
      <x:c r="F36" s="5"/>
      <x:c r="G36" s="5"/>
      <x:c r="H36" s="5"/>
      <x:c r="I36" s="5"/>
      <x:c r="J36" s="5"/>
      <x:c r="K36" s="5" t="n">
        <x:f>IFERROR(H36*0.5,0)</x:f>
        <x:v>0</x:v>
      </x:c>
      <x:c r="L36" s="5"/>
      <x:c r="M36" s="5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5"/>
      <x:c r="B37" s="5"/>
      <x:c r="C37" s="6"/>
      <x:c r="D37" s="6"/>
      <x:c r="E37" s="5"/>
      <x:c r="F37" s="5"/>
      <x:c r="G37" s="5"/>
      <x:c r="H37" s="5"/>
      <x:c r="I37" s="5"/>
      <x:c r="J37" s="5"/>
      <x:c r="K37" s="5" t="n">
        <x:f>IFERROR(H37*0.5,0)</x:f>
        <x:v>0</x:v>
      </x:c>
      <x:c r="L37" s="5"/>
      <x:c r="M37" s="5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5"/>
      <x:c r="B38" s="5"/>
      <x:c r="C38" s="6"/>
      <x:c r="D38" s="6"/>
      <x:c r="E38" s="5"/>
      <x:c r="F38" s="5"/>
      <x:c r="G38" s="5"/>
      <x:c r="H38" s="5"/>
      <x:c r="I38" s="5"/>
      <x:c r="J38" s="5"/>
      <x:c r="K38" s="5" t="n">
        <x:f>IFERROR(H38*0.5,0)</x:f>
        <x:v>0</x:v>
      </x:c>
      <x:c r="L38" s="5"/>
      <x:c r="M38" s="5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5"/>
      <x:c r="B39" s="5"/>
      <x:c r="C39" s="6"/>
      <x:c r="D39" s="6"/>
      <x:c r="E39" s="5"/>
      <x:c r="F39" s="5"/>
      <x:c r="G39" s="5"/>
      <x:c r="H39" s="5"/>
      <x:c r="I39" s="5"/>
      <x:c r="J39" s="5"/>
      <x:c r="K39" s="5" t="n">
        <x:f>IFERROR(H39*0.5,0)</x:f>
        <x:v>0</x:v>
      </x:c>
      <x:c r="L39" s="5"/>
      <x:c r="M39" s="5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5"/>
      <x:c r="B40" s="5"/>
      <x:c r="C40" s="6"/>
      <x:c r="D40" s="6"/>
      <x:c r="E40" s="5"/>
      <x:c r="F40" s="5"/>
      <x:c r="G40" s="5"/>
      <x:c r="H40" s="5"/>
      <x:c r="I40" s="5"/>
      <x:c r="J40" s="5"/>
      <x:c r="K40" s="5" t="n">
        <x:f>IFERROR(H40*0.5,0)</x:f>
        <x:v>0</x:v>
      </x:c>
      <x:c r="L40" s="5"/>
      <x:c r="M40" s="5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5"/>
      <x:c r="B41" s="5"/>
      <x:c r="C41" s="6"/>
      <x:c r="D41" s="6"/>
      <x:c r="E41" s="5"/>
      <x:c r="F41" s="5"/>
      <x:c r="G41" s="5"/>
      <x:c r="H41" s="5"/>
      <x:c r="I41" s="5"/>
      <x:c r="J41" s="5"/>
      <x:c r="K41" s="5" t="n">
        <x:f>IFERROR(H41*0.5,0)</x:f>
        <x:v>0</x:v>
      </x:c>
      <x:c r="L41" s="5"/>
      <x:c r="M41" s="5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5"/>
      <x:c r="B42" s="5"/>
      <x:c r="C42" s="6"/>
      <x:c r="D42" s="6"/>
      <x:c r="E42" s="5"/>
      <x:c r="F42" s="5"/>
      <x:c r="G42" s="5"/>
      <x:c r="H42" s="5"/>
      <x:c r="I42" s="5"/>
      <x:c r="J42" s="5"/>
      <x:c r="K42" s="5" t="n">
        <x:f>IFERROR(H42*0.5,0)</x:f>
        <x:v>0</x:v>
      </x:c>
      <x:c r="L42" s="5"/>
      <x:c r="M42" s="5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5"/>
      <x:c r="B43" s="5"/>
      <x:c r="C43" s="6"/>
      <x:c r="D43" s="6"/>
      <x:c r="E43" s="5"/>
      <x:c r="F43" s="5"/>
      <x:c r="G43" s="5"/>
      <x:c r="H43" s="5"/>
      <x:c r="I43" s="5"/>
      <x:c r="J43" s="5"/>
      <x:c r="K43" s="5" t="n">
        <x:f>IFERROR(H43*0.5,0)</x:f>
        <x:v>0</x:v>
      </x:c>
      <x:c r="L43" s="5"/>
      <x:c r="M43" s="5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5"/>
      <x:c r="B44" s="5"/>
      <x:c r="C44" s="6"/>
      <x:c r="D44" s="6"/>
      <x:c r="E44" s="5"/>
      <x:c r="F44" s="5"/>
      <x:c r="G44" s="5"/>
      <x:c r="H44" s="5"/>
      <x:c r="I44" s="5"/>
      <x:c r="J44" s="5"/>
      <x:c r="K44" s="5" t="n">
        <x:f>IFERROR(H44*0.5,0)</x:f>
        <x:v>0</x:v>
      </x:c>
      <x:c r="L44" s="5"/>
      <x:c r="M44" s="5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5"/>
      <x:c r="B45" s="5"/>
      <x:c r="C45" s="6"/>
      <x:c r="D45" s="6"/>
      <x:c r="E45" s="5"/>
      <x:c r="F45" s="5"/>
      <x:c r="G45" s="5"/>
      <x:c r="H45" s="5"/>
      <x:c r="I45" s="5"/>
      <x:c r="J45" s="5"/>
      <x:c r="K45" s="5" t="n">
        <x:f>IFERROR(H45*0.5,0)</x:f>
        <x:v>0</x:v>
      </x:c>
      <x:c r="L45" s="5"/>
      <x:c r="M45" s="5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5"/>
      <x:c r="B46" s="5"/>
      <x:c r="C46" s="6"/>
      <x:c r="D46" s="6"/>
      <x:c r="E46" s="5"/>
      <x:c r="F46" s="5"/>
      <x:c r="G46" s="5"/>
      <x:c r="H46" s="5"/>
      <x:c r="I46" s="5"/>
      <x:c r="J46" s="5"/>
      <x:c r="K46" s="5" t="n">
        <x:f>IFERROR(H46*0.5,0)</x:f>
        <x:v>0</x:v>
      </x:c>
      <x:c r="L46" s="5"/>
      <x:c r="M46" s="5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5"/>
      <x:c r="B47" s="5"/>
      <x:c r="C47" s="6"/>
      <x:c r="D47" s="6"/>
      <x:c r="E47" s="5"/>
      <x:c r="F47" s="5"/>
      <x:c r="G47" s="5"/>
      <x:c r="H47" s="5"/>
      <x:c r="I47" s="5"/>
      <x:c r="J47" s="5"/>
      <x:c r="K47" s="5" t="n">
        <x:f>IFERROR(H47*0.5,0)</x:f>
        <x:v>0</x:v>
      </x:c>
      <x:c r="L47" s="5"/>
      <x:c r="M47" s="5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5"/>
      <x:c r="B48" s="5"/>
      <x:c r="C48" s="6"/>
      <x:c r="D48" s="6"/>
      <x:c r="E48" s="5"/>
      <x:c r="F48" s="5"/>
      <x:c r="G48" s="5"/>
      <x:c r="H48" s="5"/>
      <x:c r="I48" s="5"/>
      <x:c r="J48" s="5"/>
      <x:c r="K48" s="5" t="n">
        <x:f>IFERROR(H48*0.5,0)</x:f>
        <x:v>0</x:v>
      </x:c>
      <x:c r="L48" s="5"/>
      <x:c r="M48" s="5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5"/>
      <x:c r="B49" s="5"/>
      <x:c r="C49" s="6"/>
      <x:c r="D49" s="6"/>
      <x:c r="E49" s="5"/>
      <x:c r="F49" s="5"/>
      <x:c r="G49" s="5"/>
      <x:c r="H49" s="5"/>
      <x:c r="I49" s="5"/>
      <x:c r="J49" s="5"/>
      <x:c r="K49" s="5" t="n">
        <x:f>IFERROR(H49*0.5,0)</x:f>
        <x:v>0</x:v>
      </x:c>
      <x:c r="L49" s="5"/>
      <x:c r="M49" s="5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5"/>
      <x:c r="B50" s="5"/>
      <x:c r="C50" s="6"/>
      <x:c r="D50" s="6"/>
      <x:c r="E50" s="5"/>
      <x:c r="F50" s="5"/>
      <x:c r="G50" s="5"/>
      <x:c r="H50" s="5"/>
      <x:c r="I50" s="5"/>
      <x:c r="J50" s="5"/>
      <x:c r="K50" s="5" t="n">
        <x:f>IFERROR(H50*0.5,0)</x:f>
        <x:v>0</x:v>
      </x:c>
      <x:c r="L50" s="5"/>
      <x:c r="M50" s="5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5"/>
      <x:c r="B51" s="5"/>
      <x:c r="C51" s="6"/>
      <x:c r="D51" s="6"/>
      <x:c r="E51" s="5"/>
      <x:c r="F51" s="5"/>
      <x:c r="G51" s="5"/>
      <x:c r="H51" s="5"/>
      <x:c r="I51" s="5"/>
      <x:c r="J51" s="5"/>
      <x:c r="K51" s="5" t="n">
        <x:f>IFERROR(H51*0.5,0)</x:f>
        <x:v>0</x:v>
      </x:c>
      <x:c r="L51" s="5"/>
      <x:c r="M51" s="5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5"/>
      <x:c r="B52" s="5"/>
      <x:c r="C52" s="6"/>
      <x:c r="D52" s="6"/>
      <x:c r="E52" s="5"/>
      <x:c r="F52" s="5"/>
      <x:c r="G52" s="5"/>
      <x:c r="H52" s="5"/>
      <x:c r="I52" s="5"/>
      <x:c r="J52" s="5"/>
      <x:c r="K52" s="5" t="n">
        <x:f>IFERROR(H52*0.5,0)</x:f>
        <x:v>0</x:v>
      </x:c>
      <x:c r="L52" s="5"/>
      <x:c r="M52" s="5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5"/>
      <x:c r="B53" s="5"/>
      <x:c r="C53" s="6"/>
      <x:c r="D53" s="6"/>
      <x:c r="E53" s="5"/>
      <x:c r="F53" s="5"/>
      <x:c r="G53" s="5"/>
      <x:c r="H53" s="5"/>
      <x:c r="I53" s="5"/>
      <x:c r="J53" s="5"/>
      <x:c r="K53" s="5" t="n">
        <x:f>IFERROR(H53*0.5,0)</x:f>
        <x:v>0</x:v>
      </x:c>
      <x:c r="L53" s="5"/>
      <x:c r="M53" s="5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5"/>
      <x:c r="B54" s="5"/>
      <x:c r="C54" s="6"/>
      <x:c r="D54" s="6"/>
      <x:c r="E54" s="5"/>
      <x:c r="F54" s="5"/>
      <x:c r="G54" s="5"/>
      <x:c r="H54" s="5"/>
      <x:c r="I54" s="5"/>
      <x:c r="J54" s="5"/>
      <x:c r="K54" s="5" t="n">
        <x:f>IFERROR(H54*0.5,0)</x:f>
        <x:v>0</x:v>
      </x:c>
      <x:c r="L54" s="5"/>
      <x:c r="M54" s="5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5"/>
      <x:c r="B55" s="5"/>
      <x:c r="C55" s="6"/>
      <x:c r="D55" s="6"/>
      <x:c r="E55" s="5"/>
      <x:c r="F55" s="5"/>
      <x:c r="G55" s="5"/>
      <x:c r="H55" s="5"/>
      <x:c r="I55" s="5"/>
      <x:c r="J55" s="5"/>
      <x:c r="K55" s="5" t="n">
        <x:f>IFERROR(H55*0.5,0)</x:f>
        <x:v>0</x:v>
      </x:c>
      <x:c r="L55" s="5"/>
      <x:c r="M55" s="5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5"/>
      <x:c r="B56" s="5"/>
      <x:c r="C56" s="6"/>
      <x:c r="D56" s="6"/>
      <x:c r="E56" s="5"/>
      <x:c r="F56" s="5"/>
      <x:c r="G56" s="5"/>
      <x:c r="H56" s="5"/>
      <x:c r="I56" s="5"/>
      <x:c r="J56" s="5"/>
      <x:c r="K56" s="5" t="n">
        <x:f>IFERROR(H56*0.5,0)</x:f>
        <x:v>0</x:v>
      </x:c>
      <x:c r="L56" s="5"/>
      <x:c r="M56" s="5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5"/>
      <x:c r="B57" s="5"/>
      <x:c r="C57" s="6"/>
      <x:c r="D57" s="6"/>
      <x:c r="E57" s="5"/>
      <x:c r="F57" s="5"/>
      <x:c r="G57" s="5"/>
      <x:c r="H57" s="5"/>
      <x:c r="I57" s="5"/>
      <x:c r="J57" s="5"/>
      <x:c r="K57" s="5" t="n">
        <x:f>IFERROR(H57*0.5,0)</x:f>
        <x:v>0</x:v>
      </x:c>
      <x:c r="L57" s="5"/>
      <x:c r="M57" s="5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5"/>
      <x:c r="B58" s="5"/>
      <x:c r="C58" s="6"/>
      <x:c r="D58" s="6"/>
      <x:c r="E58" s="5"/>
      <x:c r="F58" s="5"/>
      <x:c r="G58" s="5"/>
      <x:c r="H58" s="5"/>
      <x:c r="I58" s="5"/>
      <x:c r="J58" s="5"/>
      <x:c r="K58" s="5" t="n">
        <x:f>IFERROR(H58*0.5,0)</x:f>
        <x:v>0</x:v>
      </x:c>
      <x:c r="L58" s="5"/>
      <x:c r="M58" s="5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5"/>
      <x:c r="B59" s="5"/>
      <x:c r="C59" s="6"/>
      <x:c r="D59" s="6"/>
      <x:c r="E59" s="5"/>
      <x:c r="F59" s="5"/>
      <x:c r="G59" s="5"/>
      <x:c r="H59" s="5"/>
      <x:c r="I59" s="5"/>
      <x:c r="J59" s="5"/>
      <x:c r="K59" s="5" t="n">
        <x:f>IFERROR(H59*0.5,0)</x:f>
        <x:v>0</x:v>
      </x:c>
      <x:c r="L59" s="5"/>
      <x:c r="M59" s="5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5"/>
      <x:c r="B60" s="5"/>
      <x:c r="C60" s="6"/>
      <x:c r="D60" s="6"/>
      <x:c r="E60" s="5"/>
      <x:c r="F60" s="5"/>
      <x:c r="G60" s="5"/>
      <x:c r="H60" s="5"/>
      <x:c r="I60" s="5"/>
      <x:c r="J60" s="5"/>
      <x:c r="K60" s="5" t="n">
        <x:f>IFERROR(H60*0.5,0)</x:f>
        <x:v>0</x:v>
      </x:c>
      <x:c r="L60" s="5"/>
      <x:c r="M60" s="5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1">
    <x:dataValidation type="list" sqref="L2:L60">
      <x:formula1>"Not Started,Continue,Convert,Pause,Closed 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6660be28749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670000076293945" hidden="0" customWidth="1"/>
    <x:col min="3" max="3" width="12.220000267028809" hidden="0" customWidth="1"/>
    <x:col min="4" max="4" width="12.220000267028809" hidden="0" customWidth="1"/>
    <x:col min="5" max="5" width="20" hidden="0" customWidth="1"/>
    <x:col min="6" max="6" width="14.4399995803833" hidden="0" customWidth="1"/>
    <x:col min="7" max="7" width="12.220000267028809" hidden="0" customWidth="1"/>
    <x:col min="8" max="8" width="12.220000267028809" hidden="0" customWidth="1"/>
    <x:col min="9" max="9" width="13.329999923706055" hidden="0" customWidth="1"/>
    <x:col min="10" max="10" width="35.560001373291016" hidden="0" customWidth="1"/>
  </x:cols>
  <x:sheetData>
    <x:row r="1">
      <x:c r="A1" s="4" t="str">
        <x:v>Agency ID</x:v>
      </x:c>
      <x:c r="B1" s="4" t="str">
        <x:v>Plan</x:v>
      </x:c>
      <x:c r="C1" s="4" t="str">
        <x:v>Trial Length</x:v>
      </x:c>
      <x:c r="D1" s="4" t="str">
        <x:v>Monthly Price</x:v>
      </x:c>
      <x:c r="E1" s="4" t="str">
        <x:v>Seats / Volume</x:v>
      </x:c>
      <x:c r="F1" s="4" t="str">
        <x:v>Contract Status</x:v>
      </x:c>
      <x:c r="G1" s="4" t="str">
        <x:v>Signed Date</x:v>
      </x:c>
      <x:c r="H1" s="4" t="str">
        <x:v>Renewal Date</x:v>
      </x:c>
      <x:c r="I1" s="4" t="str">
        <x:v>Billing Owner</x:v>
      </x:c>
      <x:c r="J1" s="4" t="str">
        <x:v>Notes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AGY-001</x:v>
      </x:c>
      <x:c r="B2" s="5" t="str">
        <x:v>14-day pilot</x:v>
      </x:c>
      <x:c r="C2" s="5" t="str">
        <x:v>14 days</x:v>
      </x:c>
      <x:c r="D2" s="18" t="n">
        <x:v>0</x:v>
      </x:c>
      <x:c r="E2" s="5" t="str">
        <x:v>10-20 candidates</x:v>
      </x:c>
      <x:c r="F2" s="5" t="str">
        <x:v>Draft</x:v>
      </x:c>
      <x:c r="G2" s="6" t="str"/>
      <x:c r="H2" s="6" t="str"/>
      <x:c r="I2" s="5" t="str">
        <x:v>Evan</x:v>
      </x:c>
      <x:c r="J2" s="5" t="str">
        <x:v>Free pilot to prove recruiter time savings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/>
      <x:c r="B3" s="5" t="str">
        <x:v>Pilot tier</x:v>
      </x:c>
      <x:c r="C3" s="5" t="str"/>
      <x:c r="D3" s="18" t="n">
        <x:v>149</x:v>
      </x:c>
      <x:c r="E3" s="5" t="str">
        <x:v>Up to 100 candidates/month</x:v>
      </x:c>
      <x:c r="F3" s="5" t="str">
        <x:v>Template</x:v>
      </x:c>
      <x:c r="G3" s="6" t="str"/>
      <x:c r="H3" s="6" t="str"/>
      <x:c r="I3" s="5" t="str">
        <x:v>Evan</x:v>
      </x:c>
      <x:c r="J3" s="5" t="str">
        <x:v>Use only after pilot value is clear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" t="str"/>
      <x:c r="B4" s="5" t="str">
        <x:v>Growth tier</x:v>
      </x:c>
      <x:c r="C4" s="5" t="str"/>
      <x:c r="D4" s="18" t="n">
        <x:v>299</x:v>
      </x:c>
      <x:c r="E4" s="5" t="str">
        <x:v>Up to 250 candidates/month</x:v>
      </x:c>
      <x:c r="F4" s="5" t="str">
        <x:v>Template</x:v>
      </x:c>
      <x:c r="G4" s="6" t="str"/>
      <x:c r="H4" s="6" t="str"/>
      <x:c r="I4" s="5" t="str">
        <x:v>Evan</x:v>
      </x:c>
      <x:c r="J4" s="5" t="str">
        <x:v>For higher-volume branches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" t="str"/>
      <x:c r="B5" s="5" t="str">
        <x:v>Branch license</x:v>
      </x:c>
      <x:c r="C5" s="5" t="str"/>
      <x:c r="D5" s="18" t="n">
        <x:v>399</x:v>
      </x:c>
      <x:c r="E5" s="5" t="str">
        <x:v>Unlimited / dashboard access</x:v>
      </x:c>
      <x:c r="F5" s="5" t="str">
        <x:v>Template</x:v>
      </x:c>
      <x:c r="G5" s="6" t="str"/>
      <x:c r="H5" s="6" t="str"/>
      <x:c r="I5" s="5" t="str">
        <x:v>Evan</x:v>
      </x:c>
      <x:c r="J5" s="5" t="str">
        <x:v>Flat-rate branch license candidate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"/>
      <x:c r="B6" s="5"/>
      <x:c r="C6" s="5"/>
      <x:c r="D6" s="18"/>
      <x:c r="E6" s="5"/>
      <x:c r="F6" s="5"/>
      <x:c r="G6" s="6"/>
      <x:c r="H6" s="6"/>
      <x:c r="I6" s="5"/>
      <x:c r="J6" s="5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/>
      <x:c r="B7" s="5"/>
      <x:c r="C7" s="5"/>
      <x:c r="D7" s="18"/>
      <x:c r="E7" s="5"/>
      <x:c r="F7" s="5"/>
      <x:c r="G7" s="6"/>
      <x:c r="H7" s="6"/>
      <x:c r="I7" s="5"/>
      <x:c r="J7" s="5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"/>
      <x:c r="B8" s="5"/>
      <x:c r="C8" s="5"/>
      <x:c r="D8" s="18"/>
      <x:c r="E8" s="5"/>
      <x:c r="F8" s="5"/>
      <x:c r="G8" s="6"/>
      <x:c r="H8" s="6"/>
      <x:c r="I8" s="5"/>
      <x:c r="J8" s="5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"/>
      <x:c r="B9" s="5"/>
      <x:c r="C9" s="5"/>
      <x:c r="D9" s="18"/>
      <x:c r="E9" s="5"/>
      <x:c r="F9" s="5"/>
      <x:c r="G9" s="6"/>
      <x:c r="H9" s="6"/>
      <x:c r="I9" s="5"/>
      <x:c r="J9" s="5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"/>
      <x:c r="B10" s="5"/>
      <x:c r="C10" s="5"/>
      <x:c r="D10" s="18"/>
      <x:c r="E10" s="5"/>
      <x:c r="F10" s="5"/>
      <x:c r="G10" s="6"/>
      <x:c r="H10" s="6"/>
      <x:c r="I10" s="5"/>
      <x:c r="J10" s="5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"/>
      <x:c r="B11" s="5"/>
      <x:c r="C11" s="5"/>
      <x:c r="D11" s="18"/>
      <x:c r="E11" s="5"/>
      <x:c r="F11" s="5"/>
      <x:c r="G11" s="6"/>
      <x:c r="H11" s="6"/>
      <x:c r="I11" s="5"/>
      <x:c r="J11" s="5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"/>
      <x:c r="B12" s="5"/>
      <x:c r="C12" s="5"/>
      <x:c r="D12" s="18"/>
      <x:c r="E12" s="5"/>
      <x:c r="F12" s="5"/>
      <x:c r="G12" s="6"/>
      <x:c r="H12" s="6"/>
      <x:c r="I12" s="5"/>
      <x:c r="J12" s="5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"/>
      <x:c r="B13" s="5"/>
      <x:c r="C13" s="5"/>
      <x:c r="D13" s="18"/>
      <x:c r="E13" s="5"/>
      <x:c r="F13" s="5"/>
      <x:c r="G13" s="6"/>
      <x:c r="H13" s="6"/>
      <x:c r="I13" s="5"/>
      <x:c r="J13" s="5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"/>
      <x:c r="B14" s="5"/>
      <x:c r="C14" s="5"/>
      <x:c r="D14" s="18"/>
      <x:c r="E14" s="5"/>
      <x:c r="F14" s="5"/>
      <x:c r="G14" s="6"/>
      <x:c r="H14" s="6"/>
      <x:c r="I14" s="5"/>
      <x:c r="J14" s="5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"/>
      <x:c r="B15" s="5"/>
      <x:c r="C15" s="5"/>
      <x:c r="D15" s="18"/>
      <x:c r="E15" s="5"/>
      <x:c r="F15" s="5"/>
      <x:c r="G15" s="6"/>
      <x:c r="H15" s="6"/>
      <x:c r="I15" s="5"/>
      <x:c r="J15" s="5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"/>
      <x:c r="B16" s="5"/>
      <x:c r="C16" s="5"/>
      <x:c r="D16" s="18"/>
      <x:c r="E16" s="5"/>
      <x:c r="F16" s="5"/>
      <x:c r="G16" s="6"/>
      <x:c r="H16" s="6"/>
      <x:c r="I16" s="5"/>
      <x:c r="J16" s="5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"/>
      <x:c r="B17" s="5"/>
      <x:c r="C17" s="5"/>
      <x:c r="D17" s="18"/>
      <x:c r="E17" s="5"/>
      <x:c r="F17" s="5"/>
      <x:c r="G17" s="6"/>
      <x:c r="H17" s="6"/>
      <x:c r="I17" s="5"/>
      <x:c r="J17" s="5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"/>
      <x:c r="B18" s="5"/>
      <x:c r="C18" s="5"/>
      <x:c r="D18" s="18"/>
      <x:c r="E18" s="5"/>
      <x:c r="F18" s="5"/>
      <x:c r="G18" s="6"/>
      <x:c r="H18" s="6"/>
      <x:c r="I18" s="5"/>
      <x:c r="J18" s="5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"/>
      <x:c r="B19" s="5"/>
      <x:c r="C19" s="5"/>
      <x:c r="D19" s="18"/>
      <x:c r="E19" s="5"/>
      <x:c r="F19" s="5"/>
      <x:c r="G19" s="6"/>
      <x:c r="H19" s="6"/>
      <x:c r="I19" s="5"/>
      <x:c r="J19" s="5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"/>
      <x:c r="B20" s="5"/>
      <x:c r="C20" s="5"/>
      <x:c r="D20" s="18"/>
      <x:c r="E20" s="5"/>
      <x:c r="F20" s="5"/>
      <x:c r="G20" s="6"/>
      <x:c r="H20" s="6"/>
      <x:c r="I20" s="5"/>
      <x:c r="J20" s="5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"/>
      <x:c r="B21" s="5"/>
      <x:c r="C21" s="5"/>
      <x:c r="D21" s="18"/>
      <x:c r="E21" s="5"/>
      <x:c r="F21" s="5"/>
      <x:c r="G21" s="6"/>
      <x:c r="H21" s="6"/>
      <x:c r="I21" s="5"/>
      <x:c r="J21" s="5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"/>
      <x:c r="B22" s="5"/>
      <x:c r="C22" s="5"/>
      <x:c r="D22" s="18"/>
      <x:c r="E22" s="5"/>
      <x:c r="F22" s="5"/>
      <x:c r="G22" s="6"/>
      <x:c r="H22" s="6"/>
      <x:c r="I22" s="5"/>
      <x:c r="J22" s="5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"/>
      <x:c r="B23" s="5"/>
      <x:c r="C23" s="5"/>
      <x:c r="D23" s="18"/>
      <x:c r="E23" s="5"/>
      <x:c r="F23" s="5"/>
      <x:c r="G23" s="6"/>
      <x:c r="H23" s="6"/>
      <x:c r="I23" s="5"/>
      <x:c r="J23" s="5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"/>
      <x:c r="B24" s="5"/>
      <x:c r="C24" s="5"/>
      <x:c r="D24" s="18"/>
      <x:c r="E24" s="5"/>
      <x:c r="F24" s="5"/>
      <x:c r="G24" s="6"/>
      <x:c r="H24" s="6"/>
      <x:c r="I24" s="5"/>
      <x:c r="J24" s="5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"/>
      <x:c r="B25" s="5"/>
      <x:c r="C25" s="5"/>
      <x:c r="D25" s="18"/>
      <x:c r="E25" s="5"/>
      <x:c r="F25" s="5"/>
      <x:c r="G25" s="6"/>
      <x:c r="H25" s="6"/>
      <x:c r="I25" s="5"/>
      <x:c r="J25" s="5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"/>
      <x:c r="B26" s="5"/>
      <x:c r="C26" s="5"/>
      <x:c r="D26" s="18"/>
      <x:c r="E26" s="5"/>
      <x:c r="F26" s="5"/>
      <x:c r="G26" s="6"/>
      <x:c r="H26" s="6"/>
      <x:c r="I26" s="5"/>
      <x:c r="J26" s="5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"/>
      <x:c r="B27" s="5"/>
      <x:c r="C27" s="5"/>
      <x:c r="D27" s="18"/>
      <x:c r="E27" s="5"/>
      <x:c r="F27" s="5"/>
      <x:c r="G27" s="6"/>
      <x:c r="H27" s="6"/>
      <x:c r="I27" s="5"/>
      <x:c r="J27" s="5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5"/>
      <x:c r="B28" s="5"/>
      <x:c r="C28" s="5"/>
      <x:c r="D28" s="18"/>
      <x:c r="E28" s="5"/>
      <x:c r="F28" s="5"/>
      <x:c r="G28" s="6"/>
      <x:c r="H28" s="6"/>
      <x:c r="I28" s="5"/>
      <x:c r="J28" s="5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5"/>
      <x:c r="B29" s="5"/>
      <x:c r="C29" s="5"/>
      <x:c r="D29" s="18"/>
      <x:c r="E29" s="5"/>
      <x:c r="F29" s="5"/>
      <x:c r="G29" s="6"/>
      <x:c r="H29" s="6"/>
      <x:c r="I29" s="5"/>
      <x:c r="J29" s="5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5"/>
      <x:c r="B30" s="5"/>
      <x:c r="C30" s="5"/>
      <x:c r="D30" s="18"/>
      <x:c r="E30" s="5"/>
      <x:c r="F30" s="5"/>
      <x:c r="G30" s="6"/>
      <x:c r="H30" s="6"/>
      <x:c r="I30" s="5"/>
      <x:c r="J30" s="5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5"/>
      <x:c r="B31" s="5"/>
      <x:c r="C31" s="5"/>
      <x:c r="D31" s="18"/>
      <x:c r="E31" s="5"/>
      <x:c r="F31" s="5"/>
      <x:c r="G31" s="6"/>
      <x:c r="H31" s="6"/>
      <x:c r="I31" s="5"/>
      <x:c r="J31" s="5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5"/>
      <x:c r="B32" s="5"/>
      <x:c r="C32" s="5"/>
      <x:c r="D32" s="18"/>
      <x:c r="E32" s="5"/>
      <x:c r="F32" s="5"/>
      <x:c r="G32" s="6"/>
      <x:c r="H32" s="6"/>
      <x:c r="I32" s="5"/>
      <x:c r="J32" s="5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5"/>
      <x:c r="B33" s="5"/>
      <x:c r="C33" s="5"/>
      <x:c r="D33" s="18"/>
      <x:c r="E33" s="5"/>
      <x:c r="F33" s="5"/>
      <x:c r="G33" s="6"/>
      <x:c r="H33" s="6"/>
      <x:c r="I33" s="5"/>
      <x:c r="J33" s="5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5"/>
      <x:c r="B34" s="5"/>
      <x:c r="C34" s="5"/>
      <x:c r="D34" s="18"/>
      <x:c r="E34" s="5"/>
      <x:c r="F34" s="5"/>
      <x:c r="G34" s="6"/>
      <x:c r="H34" s="6"/>
      <x:c r="I34" s="5"/>
      <x:c r="J34" s="5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5"/>
      <x:c r="B35" s="5"/>
      <x:c r="C35" s="5"/>
      <x:c r="D35" s="18"/>
      <x:c r="E35" s="5"/>
      <x:c r="F35" s="5"/>
      <x:c r="G35" s="6"/>
      <x:c r="H35" s="6"/>
      <x:c r="I35" s="5"/>
      <x:c r="J35" s="5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5"/>
      <x:c r="B36" s="5"/>
      <x:c r="C36" s="5"/>
      <x:c r="D36" s="18"/>
      <x:c r="E36" s="5"/>
      <x:c r="F36" s="5"/>
      <x:c r="G36" s="6"/>
      <x:c r="H36" s="6"/>
      <x:c r="I36" s="5"/>
      <x:c r="J36" s="5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5"/>
      <x:c r="B37" s="5"/>
      <x:c r="C37" s="5"/>
      <x:c r="D37" s="18"/>
      <x:c r="E37" s="5"/>
      <x:c r="F37" s="5"/>
      <x:c r="G37" s="6"/>
      <x:c r="H37" s="6"/>
      <x:c r="I37" s="5"/>
      <x:c r="J37" s="5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5"/>
      <x:c r="B38" s="5"/>
      <x:c r="C38" s="5"/>
      <x:c r="D38" s="18"/>
      <x:c r="E38" s="5"/>
      <x:c r="F38" s="5"/>
      <x:c r="G38" s="6"/>
      <x:c r="H38" s="6"/>
      <x:c r="I38" s="5"/>
      <x:c r="J38" s="5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5"/>
      <x:c r="B39" s="5"/>
      <x:c r="C39" s="5"/>
      <x:c r="D39" s="18"/>
      <x:c r="E39" s="5"/>
      <x:c r="F39" s="5"/>
      <x:c r="G39" s="6"/>
      <x:c r="H39" s="6"/>
      <x:c r="I39" s="5"/>
      <x:c r="J39" s="5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5"/>
      <x:c r="B40" s="5"/>
      <x:c r="C40" s="5"/>
      <x:c r="D40" s="18"/>
      <x:c r="E40" s="5"/>
      <x:c r="F40" s="5"/>
      <x:c r="G40" s="6"/>
      <x:c r="H40" s="6"/>
      <x:c r="I40" s="5"/>
      <x:c r="J40" s="5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5"/>
      <x:c r="B41" s="5"/>
      <x:c r="C41" s="5"/>
      <x:c r="D41" s="18"/>
      <x:c r="E41" s="5"/>
      <x:c r="F41" s="5"/>
      <x:c r="G41" s="6"/>
      <x:c r="H41" s="6"/>
      <x:c r="I41" s="5"/>
      <x:c r="J41" s="5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5"/>
      <x:c r="B42" s="5"/>
      <x:c r="C42" s="5"/>
      <x:c r="D42" s="18"/>
      <x:c r="E42" s="5"/>
      <x:c r="F42" s="5"/>
      <x:c r="G42" s="6"/>
      <x:c r="H42" s="6"/>
      <x:c r="I42" s="5"/>
      <x:c r="J42" s="5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5"/>
      <x:c r="B43" s="5"/>
      <x:c r="C43" s="5"/>
      <x:c r="D43" s="18"/>
      <x:c r="E43" s="5"/>
      <x:c r="F43" s="5"/>
      <x:c r="G43" s="6"/>
      <x:c r="H43" s="6"/>
      <x:c r="I43" s="5"/>
      <x:c r="J43" s="5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5"/>
      <x:c r="B44" s="5"/>
      <x:c r="C44" s="5"/>
      <x:c r="D44" s="18"/>
      <x:c r="E44" s="5"/>
      <x:c r="F44" s="5"/>
      <x:c r="G44" s="6"/>
      <x:c r="H44" s="6"/>
      <x:c r="I44" s="5"/>
      <x:c r="J44" s="5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5"/>
      <x:c r="B45" s="5"/>
      <x:c r="C45" s="5"/>
      <x:c r="D45" s="18"/>
      <x:c r="E45" s="5"/>
      <x:c r="F45" s="5"/>
      <x:c r="G45" s="6"/>
      <x:c r="H45" s="6"/>
      <x:c r="I45" s="5"/>
      <x:c r="J45" s="5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5"/>
      <x:c r="B46" s="5"/>
      <x:c r="C46" s="5"/>
      <x:c r="D46" s="18"/>
      <x:c r="E46" s="5"/>
      <x:c r="F46" s="5"/>
      <x:c r="G46" s="6"/>
      <x:c r="H46" s="6"/>
      <x:c r="I46" s="5"/>
      <x:c r="J46" s="5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5"/>
      <x:c r="B47" s="5"/>
      <x:c r="C47" s="5"/>
      <x:c r="D47" s="18"/>
      <x:c r="E47" s="5"/>
      <x:c r="F47" s="5"/>
      <x:c r="G47" s="6"/>
      <x:c r="H47" s="6"/>
      <x:c r="I47" s="5"/>
      <x:c r="J47" s="5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5"/>
      <x:c r="B48" s="5"/>
      <x:c r="C48" s="5"/>
      <x:c r="D48" s="18"/>
      <x:c r="E48" s="5"/>
      <x:c r="F48" s="5"/>
      <x:c r="G48" s="6"/>
      <x:c r="H48" s="6"/>
      <x:c r="I48" s="5"/>
      <x:c r="J48" s="5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5"/>
      <x:c r="B49" s="5"/>
      <x:c r="C49" s="5"/>
      <x:c r="D49" s="18"/>
      <x:c r="E49" s="5"/>
      <x:c r="F49" s="5"/>
      <x:c r="G49" s="6"/>
      <x:c r="H49" s="6"/>
      <x:c r="I49" s="5"/>
      <x:c r="J49" s="5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5"/>
      <x:c r="B50" s="5"/>
      <x:c r="C50" s="5"/>
      <x:c r="D50" s="18"/>
      <x:c r="E50" s="5"/>
      <x:c r="F50" s="5"/>
      <x:c r="G50" s="6"/>
      <x:c r="H50" s="6"/>
      <x:c r="I50" s="5"/>
      <x:c r="J50" s="5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5"/>
      <x:c r="B51" s="5"/>
      <x:c r="C51" s="5"/>
      <x:c r="D51" s="18"/>
      <x:c r="E51" s="5"/>
      <x:c r="F51" s="5"/>
      <x:c r="G51" s="6"/>
      <x:c r="H51" s="6"/>
      <x:c r="I51" s="5"/>
      <x:c r="J51" s="5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5"/>
      <x:c r="B52" s="5"/>
      <x:c r="C52" s="5"/>
      <x:c r="D52" s="18"/>
      <x:c r="E52" s="5"/>
      <x:c r="F52" s="5"/>
      <x:c r="G52" s="6"/>
      <x:c r="H52" s="6"/>
      <x:c r="I52" s="5"/>
      <x:c r="J52" s="5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5"/>
      <x:c r="B53" s="5"/>
      <x:c r="C53" s="5"/>
      <x:c r="D53" s="18"/>
      <x:c r="E53" s="5"/>
      <x:c r="F53" s="5"/>
      <x:c r="G53" s="6"/>
      <x:c r="H53" s="6"/>
      <x:c r="I53" s="5"/>
      <x:c r="J53" s="5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5"/>
      <x:c r="B54" s="5"/>
      <x:c r="C54" s="5"/>
      <x:c r="D54" s="18"/>
      <x:c r="E54" s="5"/>
      <x:c r="F54" s="5"/>
      <x:c r="G54" s="6"/>
      <x:c r="H54" s="6"/>
      <x:c r="I54" s="5"/>
      <x:c r="J54" s="5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5"/>
      <x:c r="B55" s="5"/>
      <x:c r="C55" s="5"/>
      <x:c r="D55" s="18"/>
      <x:c r="E55" s="5"/>
      <x:c r="F55" s="5"/>
      <x:c r="G55" s="6"/>
      <x:c r="H55" s="6"/>
      <x:c r="I55" s="5"/>
      <x:c r="J55" s="5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5"/>
      <x:c r="B56" s="5"/>
      <x:c r="C56" s="5"/>
      <x:c r="D56" s="18"/>
      <x:c r="E56" s="5"/>
      <x:c r="F56" s="5"/>
      <x:c r="G56" s="6"/>
      <x:c r="H56" s="6"/>
      <x:c r="I56" s="5"/>
      <x:c r="J56" s="5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5"/>
      <x:c r="B57" s="5"/>
      <x:c r="C57" s="5"/>
      <x:c r="D57" s="18"/>
      <x:c r="E57" s="5"/>
      <x:c r="F57" s="5"/>
      <x:c r="G57" s="6"/>
      <x:c r="H57" s="6"/>
      <x:c r="I57" s="5"/>
      <x:c r="J57" s="5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5"/>
      <x:c r="B58" s="5"/>
      <x:c r="C58" s="5"/>
      <x:c r="D58" s="18"/>
      <x:c r="E58" s="5"/>
      <x:c r="F58" s="5"/>
      <x:c r="G58" s="6"/>
      <x:c r="H58" s="6"/>
      <x:c r="I58" s="5"/>
      <x:c r="J58" s="5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5"/>
      <x:c r="B59" s="5"/>
      <x:c r="C59" s="5"/>
      <x:c r="D59" s="18"/>
      <x:c r="E59" s="5"/>
      <x:c r="F59" s="5"/>
      <x:c r="G59" s="6"/>
      <x:c r="H59" s="6"/>
      <x:c r="I59" s="5"/>
      <x:c r="J59" s="5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5"/>
      <x:c r="B60" s="5"/>
      <x:c r="C60" s="5"/>
      <x:c r="D60" s="18"/>
      <x:c r="E60" s="5"/>
      <x:c r="F60" s="5"/>
      <x:c r="G60" s="6"/>
      <x:c r="H60" s="6"/>
      <x:c r="I60" s="5"/>
      <x:c r="J60" s="5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1">
    <x:dataValidation type="list" sqref="F2:F60">
      <x:formula1>"Draft,Sent,Negotiating,Signed,Paused,Closed Lost,Template"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87cf0ebba4b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110000610351562" hidden="0" customWidth="1"/>
    <x:col min="3" max="3" width="10" hidden="0" customWidth="1"/>
    <x:col min="4" max="4" width="17.780000686645508" hidden="0" customWidth="1"/>
  </x:cols>
  <x:sheetData>
    <x:row r="1">
      <x:c r="A1" s="4" t="str">
        <x:v>Stages</x:v>
      </x:c>
      <x:c r="B1" s="4" t="str">
        <x:v>Deal Statuses</x:v>
      </x:c>
      <x:c r="C1" s="4" t="str">
        <x:v>Priorities</x:v>
      </x:c>
      <x:c r="D1" s="4" t="str">
        <x:v>Contact Outcomes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Target</x:v>
      </x:c>
      <x:c r="B2" s="1" t="str">
        <x:v>No Deal Yet</x:v>
      </x:c>
      <x:c r="C2" s="1" t="str">
        <x:v>High</x:v>
      </x:c>
      <x:c r="D2" s="1" t="str">
        <x:v>Pending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Researching</x:v>
      </x:c>
      <x:c r="B3" s="1" t="str">
        <x:v>Pilot Offered</x:v>
      </x:c>
      <x:c r="C3" s="1" t="str">
        <x:v>Medium</x:v>
      </x:c>
      <x:c r="D3" s="1" t="str">
        <x:v>Open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Contacted</x:v>
      </x:c>
      <x:c r="B4" s="1" t="str">
        <x:v>Pilot Active</x:v>
      </x:c>
      <x:c r="C4" s="1" t="str">
        <x:v>Low</x:v>
      </x:c>
      <x:c r="D4" s="1" t="str">
        <x:v>Positive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Demo Scheduled</x:v>
      </x:c>
      <x:c r="B5" s="1" t="str">
        <x:v>Negotiating</x:v>
      </x:c>
      <x:c r="C5" s="1" t="str"/>
      <x:c r="D5" s="1" t="str">
        <x:v>Needs Follow-up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Demo Completed</x:v>
      </x:c>
      <x:c r="B6" s="1" t="str">
        <x:v>Signed</x:v>
      </x:c>
      <x:c r="C6" s="1" t="str"/>
      <x:c r="D6" s="1" t="str">
        <x:v>Demo Scheduled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Pilot Proposed</x:v>
      </x:c>
      <x:c r="B7" s="1" t="str">
        <x:v>Paused</x:v>
      </x:c>
      <x:c r="C7" s="1" t="str"/>
      <x:c r="D7" s="1" t="str">
        <x:v>No Response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Pilot Active</x:v>
      </x:c>
      <x:c r="B8" s="1" t="str">
        <x:v>Closed Lost</x:v>
      </x:c>
      <x:c r="C8" s="1" t="str"/>
      <x:c r="D8" s="1" t="str">
        <x:v>Not Interested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Negotiating</x:v>
      </x:c>
      <x:c r="B9" s="1" t="str"/>
      <x:c r="C9" s="1" t="str"/>
      <x:c r="D9" s="1" t="str">
        <x:v>Closed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Signed</x:v>
      </x:c>
      <x:c r="B10" s="1" t="str"/>
      <x:c r="C10" s="1" t="str"/>
      <x:c r="D10" s="1" t="str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Paused</x:v>
      </x:c>
      <x:c r="B11" s="1" t="str"/>
      <x:c r="C11" s="1" t="str"/>
      <x:c r="D11" s="1" t="str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Closed Lost</x:v>
      </x:c>
      <x:c r="B12" s="1" t="str"/>
      <x:c r="C12" s="1" t="str"/>
      <x:c r="D12" s="1" t="str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/>
      <x:c r="B13" s="1" t="str"/>
      <x:c r="C13" s="1" t="str"/>
      <x:c r="D13" s="1" t="str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/>
      <x:c r="B14" s="1" t="str"/>
      <x:c r="C14" s="1" t="str"/>
      <x:c r="D14" s="1" t="str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/>
      <x:c r="B15" s="1" t="str"/>
      <x:c r="C15" s="1" t="str"/>
      <x:c r="D15" s="1" t="str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