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6513c25a5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a5cbe66aa44f4e"/>
    <x:sheet xmlns:r="http://schemas.openxmlformats.org/officeDocument/2006/relationships" name="Functionality Tracker" sheetId="2" r:id="R5765fc02388746a4"/>
    <x:sheet xmlns:r="http://schemas.openxmlformats.org/officeDocument/2006/relationships" name="Roadmap" sheetId="3" r:id="Rf5d15b86f24a4fa4"/>
    <x:sheet xmlns:r="http://schemas.openxmlformats.org/officeDocument/2006/relationships" name="QA Checklist" sheetId="4" r:id="Rdd20f9bfd98546a8"/>
    <x:sheet xmlns:r="http://schemas.openxmlformats.org/officeDocument/2006/relationships" name="Data Lists" sheetId="5" r:id="R4a662746fda1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11B16"/>
      <x:name val="Carlito"/>
    </x:font>
    <x:font>
      <x:b/>
      <x:sz val="11"/>
      <x:color rgb="FFFFFFFF"/>
      <x:name val="Carlito"/>
    </x:font>
    <x:font>
      <x:b/>
      <x:i/>
      <x:sz val="11"/>
      <x:color rgb="FF665A4A"/>
      <x:name val="Carlito"/>
    </x:font>
    <x:font>
      <x:i/>
      <x:sz val="11"/>
      <x:color rgb="FF665A4A"/>
      <x:name val="Carlito"/>
    </x:font>
    <x:font>
      <x:b/>
      <x:sz val="11"/>
      <x:color rgb="FF211B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11B16"/>
      </x:patternFill>
    </x:fill>
    <x:fill>
      <x:patternFill patternType="solid">
        <x:fgColor rgb="FFFFFAF1"/>
      </x:patternFill>
    </x:fill>
    <x:fill>
      <x:patternFill patternType="solid">
        <x:fgColor rgb="FF2F6F5E"/>
      </x:patternFill>
    </x:fill>
    <x:fill>
      <x:patternFill patternType="solid">
        <x:fgColor rgb="FFE8F0E6"/>
      </x:patternFill>
    </x:fill>
  </x:fills>
  <x:borders count="5"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5" borderId="4" xfId="0" applyNumberFormat="1" applyFont="1" applyFill="1" applyBorder="1"/>
    <x:xf numFmtId="0" fontId="5" fillId="5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ce0d09f554ab9" /><Relationship Type="http://schemas.openxmlformats.org/officeDocument/2006/relationships/theme" Target="/xl/theme/theme1.xml" Id="R8069e9fe20a1487c" /><Relationship Type="http://schemas.openxmlformats.org/officeDocument/2006/relationships/sharedStrings" Target="/xl/sharedStrings.xml" Id="R9b5c3c9c39d54afe" /><Relationship Type="http://schemas.openxmlformats.org/officeDocument/2006/relationships/worksheet" Target="/xl/worksheets/sheet1.xml" Id="R14a5cbe66aa44f4e" /><Relationship Type="http://schemas.openxmlformats.org/officeDocument/2006/relationships/worksheet" Target="/xl/worksheets/sheet2.xml" Id="R5765fc02388746a4" /><Relationship Type="http://schemas.openxmlformats.org/officeDocument/2006/relationships/worksheet" Target="/xl/worksheets/sheet3.xml" Id="Rf5d15b86f24a4fa4" /><Relationship Type="http://schemas.openxmlformats.org/officeDocument/2006/relationships/worksheet" Target="/xl/worksheets/sheet4.xml" Id="Rdd20f9bfd98546a8" /><Relationship Type="http://schemas.openxmlformats.org/officeDocument/2006/relationships/worksheet" Target="/xl/worksheets/sheet5.xml" Id="R4a662746fda144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8ac7d2316f4c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Functionality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8ac7d2316f4c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encyFunctionalityTable" displayName="AgencyFunctionalityTable" ref="A1:J31" headerRowCount="1">
  <x:autoFilter ref="A1:J31"/>
  <x:tableColumns count="10">
    <x:tableColumn id="1" name="ID"/>
    <x:tableColumn id="2" name="Area"/>
    <x:tableColumn id="3" name="Functionality"/>
    <x:tableColumn id="4" name="Status"/>
    <x:tableColumn id="5" name="Current Implementation"/>
    <x:tableColumn id="6" name="Files / Source"/>
    <x:tableColumn id="7" name="Owner"/>
    <x:tableColumn id="8" name="Priority"/>
    <x:tableColumn id="9" name="Release"/>
    <x:tableColumn id="10" name="Next Step"/>
  </x:tableColumns>
  <x:tableStyleInfo name="TableStyleMedium4" showRowStripes="1"/>
</x:table>
</file>

<file path=xl/tables/table2.xml><?xml version="1.0" encoding="utf-8"?>
<x:table xmlns:x="http://schemas.openxmlformats.org/spreadsheetml/2006/main" id="2" name="AgencyRoadmapTable" displayName="AgencyRoadmapTable" ref="A1:H10" headerRowCount="1">
  <x:autoFilter ref="A1:H10"/>
  <x:tableColumns count="8">
    <x:tableColumn id="1" name="Phase"/>
    <x:tableColumn id="2" name="Theme"/>
    <x:tableColumn id="3" name="Feature / Workstream"/>
    <x:tableColumn id="4" name="Owner"/>
    <x:tableColumn id="5" name="Status"/>
    <x:tableColumn id="6" name="Dependency"/>
    <x:tableColumn id="7" name="Priority"/>
    <x:tableColumn id="8" name="Target"/>
  </x:tableColumns>
  <x:tableStyleInfo name="TableStyleMedium4" showRowStripes="1"/>
</x:table>
</file>

<file path=xl/tables/table3.xml><?xml version="1.0" encoding="utf-8"?>
<x:table xmlns:x="http://schemas.openxmlformats.org/spreadsheetml/2006/main" id="3" name="AgencyQaTable" displayName="AgencyQaTable" ref="A1:F11" headerRowCount="1">
  <x:autoFilter ref="A1:F11"/>
  <x:tableColumns count="6">
    <x:tableColumn id="1" name="ID"/>
    <x:tableColumn id="2" name="Test Area"/>
    <x:tableColumn id="3" name="Role"/>
    <x:tableColumn id="4" name="Test Step"/>
    <x:tableColumn id="5" name="Status"/>
    <x:tableColumn id="6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4673fd558045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054305bb00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cfe1b19f9b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29849f8f8d4d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329999923706055" hidden="0" customWidth="1"/>
    <x:col min="4" max="4" width="16.670000076293945" hidden="0" customWidth="1"/>
    <x:col min="5" max="5" width="8.890000343322754" hidden="0" customWidth="1"/>
    <x:col min="6" max="6" width="28.889999389648438" hidden="0" customWidth="1"/>
    <x:col min="7" max="7" width="13.329999923706055" hidden="0" customWidth="1"/>
    <x:col min="8" max="8" width="13.329999923706055" hidden="0" customWidth="1"/>
  </x:cols>
  <x:sheetData>
    <x:row r="1" ht="27" customHeight="1">
      <x:c r="A1" s="7" t="str">
        <x:v>Dashboard for implementation status, roadmap health, and QA readiness.</x:v>
      </x:c>
      <x:c r="B1" s="7" t="str">
        <x:v>Dashboard for implementation status, roadmap health, and QA readiness.</x:v>
      </x:c>
      <x:c r="C1" s="7" t="str">
        <x:v>Dashboard for implementation status, roadmap health, and QA readiness.</x:v>
      </x:c>
      <x:c r="D1" s="7" t="str">
        <x:v>Dashboard for implementation status, roadmap health, and QA readiness.</x:v>
      </x:c>
      <x:c r="E1" s="7" t="str">
        <x:v>Dashboard for implementation status, roadmap health, and QA readiness.</x:v>
      </x:c>
      <x:c r="F1" s="7" t="str">
        <x:v>Dashboard for implementation status, roadmap health, and QA readiness.</x:v>
      </x:c>
      <x:c r="G1" s="7" t="str">
        <x:v>Dashboard for implementation status, roadmap health, and QA readiness.</x:v>
      </x:c>
      <x:c r="H1" s="7" t="str">
        <x:v>Dashboard for implementation status, roadmap health, and QA readiness.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7" customHeight="1">
      <x:c r="A2" s="9" t="str">
        <x:v>Dashboard for implementation status, roadmap health, and QA readiness.</x:v>
      </x:c>
      <x:c r="B2" s="9" t="str">
        <x:v>Dashboard for implementation status, roadmap health, and QA readiness.</x:v>
      </x:c>
      <x:c r="C2" s="9" t="str">
        <x:v>Dashboard for implementation status, roadmap health, and QA readiness.</x:v>
      </x:c>
      <x:c r="D2" s="9" t="str">
        <x:v>Dashboard for implementation status, roadmap health, and QA readiness.</x:v>
      </x:c>
      <x:c r="E2" s="9" t="str">
        <x:v>Dashboard for implementation status, roadmap health, and QA readiness.</x:v>
      </x:c>
      <x:c r="F2" s="9" t="str">
        <x:v>Dashboard for implementation status, roadmap health, and QA readiness.</x:v>
      </x:c>
      <x:c r="G2" s="9" t="str">
        <x:v>Dashboard for implementation status, roadmap health, and QA readiness.</x:v>
      </x:c>
      <x:c r="H2" s="9" t="str">
        <x:v>Dashboard for implementation status, roadmap health, and QA readiness.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Metric</x:v>
      </x:c>
      <x:c r="B4" s="14" t="str">
        <x:v>Value</x:v>
      </x:c>
      <x:c r="C4" s="1"/>
      <x:c r="D4" s="12" t="str">
        <x:v>Status</x:v>
      </x:c>
      <x:c r="E4" s="12" t="str">
        <x:v>Count</x:v>
      </x:c>
      <x:c r="F4" s="12" t="str">
        <x:v>Notes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 t="str">
        <x:v>Implemented items</x:v>
      </x:c>
      <x:c r="B5" s="18" t="n">
        <x:f>COUNTIF('Functionality Tracker'!D2:D80,"Implemented")</x:f>
        <x:v>18</x:v>
      </x:c>
      <x:c r="C5" s="1"/>
      <x:c r="D5" s="1" t="str">
        <x:v>Implemented</x:v>
      </x:c>
      <x:c r="E5" s="1" t="n">
        <x:f>COUNTIF('Functionality Tracker'!D2:D80,D5)</x:f>
        <x:v>18</x:v>
      </x:c>
      <x:c r="F5" s="1" t="str">
        <x:v>Live or built in code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" t="str">
        <x:v>Planned/future items</x:v>
      </x:c>
      <x:c r="B6" s="18" t="n">
        <x:f>COUNTIF('Functionality Tracker'!D2:D80,"Planned")+COUNTIF('Functionality Tracker'!D2:D80,"Future")</x:f>
        <x:v>12</x:v>
      </x:c>
      <x:c r="C6" s="1"/>
      <x:c r="D6" s="1" t="str">
        <x:v>In Progress</x:v>
      </x:c>
      <x:c r="E6" s="1" t="n">
        <x:f>COUNTIF('Functionality Tracker'!D3:D81,D6)</x:f>
        <x:v>0</x:v>
      </x:c>
      <x:c r="F6" s="1" t="str">
        <x:v>Currently being built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P0 open items</x:v>
      </x:c>
      <x:c r="B7" s="18" t="n">
        <x:f>COUNTIFS('Functionality Tracker'!D2:D80,"&lt;&gt;Implemented",'Functionality Tracker'!H2:H80,"P0")</x:f>
        <x:v>1</x:v>
      </x:c>
      <x:c r="C7" s="1"/>
      <x:c r="D7" s="1" t="str">
        <x:v>Planned</x:v>
      </x:c>
      <x:c r="E7" s="1" t="n">
        <x:f>COUNTIF('Functionality Tracker'!D4:D82,D7)</x:f>
        <x:v>11</x:v>
      </x:c>
      <x:c r="F7" s="1" t="str">
        <x:v>Should be built for next pilots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Next phase items</x:v>
      </x:c>
      <x:c r="B8" s="18" t="n">
        <x:f>COUNTIF('Functionality Tracker'!I2:I80,"Next")</x:f>
        <x:v>7</x:v>
      </x:c>
      <x:c r="C8" s="1"/>
      <x:c r="D8" s="1" t="str">
        <x:v>Future</x:v>
      </x:c>
      <x:c r="E8" s="1" t="n">
        <x:f>COUNTIF('Functionality Tracker'!D5:D83,D8)</x:f>
        <x:v>1</x:v>
      </x:c>
      <x:c r="F8" s="1" t="str">
        <x:v>Later phase / integrations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Total tracked items</x:v>
      </x:c>
      <x:c r="B9" s="18" t="n">
        <x:f>COUNTA('Functionality Tracker'!A2:A80)</x:f>
        <x:v>30</x:v>
      </x:c>
      <x:c r="C9" s="1"/>
      <x:c r="D9" s="1" t="str">
        <x:v>Blocked</x:v>
      </x:c>
      <x:c r="E9" s="1" t="n">
        <x:f>COUNTIF('Functionality Tracker'!D6:D84,D9)</x:f>
        <x:v>0</x:v>
      </x:c>
      <x:c r="F9" s="1" t="str">
        <x:v>Needs decision or dependency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 t="str">
        <x:v>Deferred</x:v>
      </x:c>
      <x:c r="E10" s="1" t="n">
        <x:f>COUNTIF('Functionality Tracker'!D7:D85,D10)</x:f>
        <x:v>0</x:v>
      </x:c>
      <x:c r="F10" s="1" t="str">
        <x:v>Not needed for MVP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1:H2"/>
  </x:mergeCells>
  <x:pageMargins left="0.7" right="0.7" top="0.75" bottom="0.75" header="0.3" footer="0.3"/>
  <x:drawing xmlns:r="http://schemas.openxmlformats.org/officeDocument/2006/relationships" r:id="Rc74673fd5580451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4.4399995803833" hidden="0" customWidth="1"/>
    <x:col min="3" max="3" width="24.440000534057617" hidden="0" customWidth="1"/>
    <x:col min="4" max="4" width="13.329999923706055" hidden="0" customWidth="1"/>
    <x:col min="5" max="5" width="36.66999816894531" hidden="0" customWidth="1"/>
    <x:col min="6" max="6" width="28.889999389648438" hidden="0" customWidth="1"/>
    <x:col min="7" max="7" width="11.670000076293945" hidden="0" customWidth="1"/>
    <x:col min="8" max="8" width="7.78000020980835" hidden="0" customWidth="1"/>
    <x:col min="9" max="9" width="11.109999656677246" hidden="0" customWidth="1"/>
    <x:col min="10" max="10" width="24.440000534057617" hidden="0" customWidth="1"/>
  </x:cols>
  <x:sheetData>
    <x:row r="1">
      <x:c r="A1" s="12" t="str">
        <x:v>ID</x:v>
      </x:c>
      <x:c r="B1" s="12" t="str">
        <x:v>Area</x:v>
      </x:c>
      <x:c r="C1" s="12" t="str">
        <x:v>Functionality</x:v>
      </x:c>
      <x:c r="D1" s="12" t="str">
        <x:v>Status</x:v>
      </x:c>
      <x:c r="E1" s="12" t="str">
        <x:v>Current Implementation</x:v>
      </x:c>
      <x:c r="F1" s="12" t="str">
        <x:v>Files / Source</x:v>
      </x:c>
      <x:c r="G1" s="12" t="str">
        <x:v>Owner</x:v>
      </x:c>
      <x:c r="H1" s="12" t="str">
        <x:v>Priority</x:v>
      </x:c>
      <x:c r="I1" s="12" t="str">
        <x:v>Release</x:v>
      </x:c>
      <x:c r="J1" s="12" t="str">
        <x:v>Next Step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AG-001</x:v>
      </x:c>
      <x:c r="B2" s="19" t="str">
        <x:v>Public Marketing</x:v>
      </x:c>
      <x:c r="C2" s="19" t="str">
        <x:v>Agency partner landing page</x:v>
      </x:c>
      <x:c r="D2" s="19" t="str">
        <x:v>Implemented</x:v>
      </x:c>
      <x:c r="E2" s="19" t="str">
        <x:v>Public agency partner page at /partners/agency with 14-day pilot positioning and no-integration copy.</x:v>
      </x:c>
      <x:c r="F2" s="19" t="str">
        <x:v>src/pages/partners/AgencyPartnerPage.tsx</x:v>
      </x:c>
      <x:c r="G2" s="19" t="str">
        <x:v>Product</x:v>
      </x:c>
      <x:c r="H2" s="19" t="str">
        <x:v>P0</x:v>
      </x:c>
      <x:c r="I2" s="19" t="str">
        <x:v>Pilot MVP</x:v>
      </x:c>
      <x:c r="J2" s="19" t="str">
        <x:v>Use in outreach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9" t="str">
        <x:v>AG-002</x:v>
      </x:c>
      <x:c r="B3" s="19" t="str">
        <x:v>Application</x:v>
      </x:c>
      <x:c r="C3" s="19" t="str">
        <x:v>Agency partner application type</x:v>
      </x:c>
      <x:c r="D3" s="19" t="str">
        <x:v>Implemented</x:v>
      </x:c>
      <x:c r="E3" s="19" t="str">
        <x:v>Partner application flow supports type=agency without removing academic, business, student flows.</x:v>
      </x:c>
      <x:c r="F3" s="19" t="str">
        <x:v>src/pages/partners/PartnerApplicationPage.tsx; src/types.ts</x:v>
      </x:c>
      <x:c r="G3" s="19" t="str">
        <x:v>Product</x:v>
      </x:c>
      <x:c r="H3" s="19" t="str">
        <x:v>P0</x:v>
      </x:c>
      <x:c r="I3" s="19" t="str">
        <x:v>Pilot MVP</x:v>
      </x:c>
      <x:c r="J3" s="19" t="str">
        <x:v>Monitor incoming applications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9" t="str">
        <x:v>AG-003</x:v>
      </x:c>
      <x:c r="B4" s="19" t="str">
        <x:v>Roles/Auth</x:v>
      </x:c>
      <x:c r="C4" s="19" t="str">
        <x:v>agency_partner role</x:v>
      </x:c>
      <x:c r="D4" s="19" t="str">
        <x:v>Implemented</x:v>
      </x:c>
      <x:c r="E4" s="19" t="str">
        <x:v>Approved agency users can be assigned agency_partner role and access agency dashboard.</x:v>
      </x:c>
      <x:c r="F4" s="19" t="str">
        <x:v>functions/src/triggers.ts; src/pages/AgencyPartnerDashboard.tsx</x:v>
      </x:c>
      <x:c r="G4" s="19" t="str">
        <x:v>Engineering</x:v>
      </x:c>
      <x:c r="H4" s="19" t="str">
        <x:v>P0</x:v>
      </x:c>
      <x:c r="I4" s="19" t="str">
        <x:v>Pilot MVP</x:v>
      </x:c>
      <x:c r="J4" s="19" t="str">
        <x:v>Verify on next real approval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AG-004</x:v>
      </x:c>
      <x:c r="B5" s="19" t="str">
        <x:v>Data</x:v>
      </x:c>
      <x:c r="C5" s="19" t="str">
        <x:v>Agency branch profile</x:v>
      </x:c>
      <x:c r="D5" s="19" t="str">
        <x:v>Implemented</x:v>
      </x:c>
      <x:c r="E5" s="19" t="str">
        <x:v>agencyBranches collection stores branch owner, slug, contact, status, invite limit, color.</x:v>
      </x:c>
      <x:c r="F5" s="19" t="str">
        <x:v>src/types.ts; functions/src/triggers.ts</x:v>
      </x:c>
      <x:c r="G5" s="19" t="str">
        <x:v>Engineering</x:v>
      </x:c>
      <x:c r="H5" s="19" t="str">
        <x:v>P0</x:v>
      </x:c>
      <x:c r="I5" s="19" t="str">
        <x:v>Pilot MVP</x:v>
      </x:c>
      <x:c r="J5" s="19" t="str">
        <x:v>Add logo support later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AG-005</x:v>
      </x:c>
      <x:c r="B6" s="19" t="str">
        <x:v>Admin</x:v>
      </x:c>
      <x:c r="C6" s="19" t="str">
        <x:v>Admin agency dashboard links</x:v>
      </x:c>
      <x:c r="D6" s="19" t="str">
        <x:v>Implemented</x:v>
      </x:c>
      <x:c r="E6" s="19" t="str">
        <x:v>Admin Partners tab lists approved branches with dashboard and invite actions.</x:v>
      </x:c>
      <x:c r="F6" s="19" t="str">
        <x:v>src/pages/admin/components/PartnerApplicationManagement.tsx</x:v>
      </x:c>
      <x:c r="G6" s="19" t="str">
        <x:v>Engineering</x:v>
      </x:c>
      <x:c r="H6" s="19" t="str">
        <x:v>P0</x:v>
      </x:c>
      <x:c r="I6" s="19" t="str">
        <x:v>Pilot MVP</x:v>
      </x:c>
      <x:c r="J6" s="19" t="str">
        <x:v>Use for demos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AG-006</x:v>
      </x:c>
      <x:c r="B7" s="19" t="str">
        <x:v>Agency Dashboard</x:v>
      </x:c>
      <x:c r="C7" s="19" t="str">
        <x:v>Dashboard shell</x:v>
      </x:c>
      <x:c r="D7" s="19" t="str">
        <x:v>Implemented</x:v>
      </x:c>
      <x:c r="E7" s="19" t="str">
        <x:v>Agency partner dashboard reuses partner dashboard conventions with agency-first tabs.</x:v>
      </x:c>
      <x:c r="F7" s="19" t="str">
        <x:v>src/pages/AgencyPartnerDashboard.tsx</x:v>
      </x:c>
      <x:c r="G7" s="19" t="str">
        <x:v>Engineering</x:v>
      </x:c>
      <x:c r="H7" s="19" t="str">
        <x:v>P0</x:v>
      </x:c>
      <x:c r="I7" s="19" t="str">
        <x:v>Pilot MVP</x:v>
      </x:c>
      <x:c r="J7" s="19" t="str">
        <x:v>Improve empty states as pilots grow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9" t="str">
        <x:v>AG-007</x:v>
      </x:c>
      <x:c r="B8" s="19" t="str">
        <x:v>Agency Dashboard</x:v>
      </x:c>
      <x:c r="C8" s="19" t="str">
        <x:v>Prep Pipeline tab</x:v>
      </x:c>
      <x:c r="D8" s="19" t="str">
        <x:v>Implemented</x:v>
      </x:c>
      <x:c r="E8" s="19" t="str">
        <x:v>Groups candidate prep sessions by started, resume imported, reviewed, ready, shared.</x:v>
      </x:c>
      <x:c r="F8" s="19" t="str">
        <x:v>src/pages/AgencyPartnerDashboard.tsx</x:v>
      </x:c>
      <x:c r="G8" s="19" t="str">
        <x:v>Product</x:v>
      </x:c>
      <x:c r="H8" s="19" t="str">
        <x:v>P0</x:v>
      </x:c>
      <x:c r="I8" s="19" t="str">
        <x:v>Pilot MVP</x:v>
      </x:c>
      <x:c r="J8" s="19" t="str">
        <x:v>Add search/filter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9" t="str">
        <x:v>AG-008</x:v>
      </x:c>
      <x:c r="B9" s="19" t="str">
        <x:v>Agency Dashboard</x:v>
      </x:c>
      <x:c r="C9" s="19" t="str">
        <x:v>Invite Link tab</x:v>
      </x:c>
      <x:c r="D9" s="19" t="str">
        <x:v>Implemented</x:v>
      </x:c>
      <x:c r="E9" s="19" t="str">
        <x:v>Branch invite link and recruiter script are visible to the agency.</x:v>
      </x:c>
      <x:c r="F9" s="19" t="str">
        <x:v>src/pages/AgencyPartnerDashboard.tsx</x:v>
      </x:c>
      <x:c r="G9" s="19" t="str">
        <x:v>Product</x:v>
      </x:c>
      <x:c r="H9" s="19" t="str">
        <x:v>P0</x:v>
      </x:c>
      <x:c r="I9" s="19" t="str">
        <x:v>Pilot MVP</x:v>
      </x:c>
      <x:c r="J9" s="19" t="str">
        <x:v>Add QR/download assets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9" t="str">
        <x:v>AG-009</x:v>
      </x:c>
      <x:c r="B10" s="19" t="str">
        <x:v>Agency Dashboard</x:v>
      </x:c>
      <x:c r="C10" s="19" t="str">
        <x:v>Ready Reports tab</x:v>
      </x:c>
      <x:c r="D10" s="19" t="str">
        <x:v>Implemented</x:v>
      </x:c>
      <x:c r="E10" s="19" t="str">
        <x:v>Shared sessions show readiness summary and resume link after consent.</x:v>
      </x:c>
      <x:c r="F10" s="19" t="str">
        <x:v>src/pages/AgencyPartnerDashboard.tsx</x:v>
      </x:c>
      <x:c r="G10" s="19" t="str">
        <x:v>Product</x:v>
      </x:c>
      <x:c r="H10" s="19" t="str">
        <x:v>P0</x:v>
      </x:c>
      <x:c r="I10" s="19" t="str">
        <x:v>Pilot MVP</x:v>
      </x:c>
      <x:c r="J10" s="19" t="str">
        <x:v>Add report PDF/export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9" t="str">
        <x:v>AG-010</x:v>
      </x:c>
      <x:c r="B11" s="19" t="str">
        <x:v>Agency Dashboard</x:v>
      </x:c>
      <x:c r="C11" s="19" t="str">
        <x:v>Pilot Metrics tab</x:v>
      </x:c>
      <x:c r="D11" s="19" t="str">
        <x:v>Implemented</x:v>
      </x:c>
      <x:c r="E11" s="19" t="str">
        <x:v>Shows candidates started, shared reports, average score lift.</x:v>
      </x:c>
      <x:c r="F11" s="19" t="str">
        <x:v>src/pages/AgencyPartnerDashboard.tsx</x:v>
      </x:c>
      <x:c r="G11" s="19" t="str">
        <x:v>Product</x:v>
      </x:c>
      <x:c r="H11" s="19" t="str">
        <x:v>P0</x:v>
      </x:c>
      <x:c r="I11" s="19" t="str">
        <x:v>Pilot MVP</x:v>
      </x:c>
      <x:c r="J11" s="19" t="str">
        <x:v>Add time saved metric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 t="str">
        <x:v>AG-011</x:v>
      </x:c>
      <x:c r="B12" s="19" t="str">
        <x:v>Candidate Prep</x:v>
      </x:c>
      <x:c r="C12" s="19" t="str">
        <x:v>Agency prep portal</x:v>
      </x:c>
      <x:c r="D12" s="19" t="str">
        <x:v>Implemented</x:v>
      </x:c>
      <x:c r="E12" s="19" t="str">
        <x:v>Candidate opens /prepare/{slug}, signs in, selects/creates resume, and shares readiness when ready.</x:v>
      </x:c>
      <x:c r="F12" s="19" t="str">
        <x:v>src/pages/AgencyPreparePage.tsx</x:v>
      </x:c>
      <x:c r="G12" s="19" t="str">
        <x:v>Engineering</x:v>
      </x:c>
      <x:c r="H12" s="19" t="str">
        <x:v>P0</x:v>
      </x:c>
      <x:c r="I12" s="19" t="str">
        <x:v>Pilot MVP</x:v>
      </x:c>
      <x:c r="J12" s="19" t="str">
        <x:v>Test with real branch user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 t="str">
        <x:v>AG-012</x:v>
      </x:c>
      <x:c r="B13" s="19" t="str">
        <x:v>Candidate Prep</x:v>
      </x:c>
      <x:c r="C13" s="19" t="str">
        <x:v>Prep session upsert</x:v>
      </x:c>
      <x:c r="D13" s="19" t="str">
        <x:v>Implemented</x:v>
      </x:c>
      <x:c r="E13" s="19" t="str">
        <x:v>Creates/updates agencyPrepSessions from candidate activity and current resume score.</x:v>
      </x:c>
      <x:c r="F13" s="19" t="str">
        <x:v>src/services/agencyPartnerService.ts</x:v>
      </x:c>
      <x:c r="G13" s="19" t="str">
        <x:v>Engineering</x:v>
      </x:c>
      <x:c r="H13" s="19" t="str">
        <x:v>P0</x:v>
      </x:c>
      <x:c r="I13" s="19" t="str">
        <x:v>Pilot MVP</x:v>
      </x:c>
      <x:c r="J13" s="19" t="str">
        <x:v>Add invited state later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9" t="str">
        <x:v>AG-013</x:v>
      </x:c>
      <x:c r="B14" s="19" t="str">
        <x:v>Consent</x:v>
      </x:c>
      <x:c r="C14" s="19" t="str">
        <x:v>Candidate readiness sharing</x:v>
      </x:c>
      <x:c r="D14" s="19" t="str">
        <x:v>Implemented</x:v>
      </x:c>
      <x:c r="E14" s="19" t="str">
        <x:v>Candidate consent updates status=shared, report summary, score delta, sharedAt, resumeSharePath.</x:v>
      </x:c>
      <x:c r="F14" s="19" t="str">
        <x:v>src/services/agencyPartnerService.ts</x:v>
      </x:c>
      <x:c r="G14" s="19" t="str">
        <x:v>Engineering</x:v>
      </x:c>
      <x:c r="H14" s="19" t="str">
        <x:v>P0</x:v>
      </x:c>
      <x:c r="I14" s="19" t="str">
        <x:v>Pilot MVP</x:v>
      </x:c>
      <x:c r="J14" s="19" t="str">
        <x:v>Add revoke history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9" t="str">
        <x:v>AG-014</x:v>
      </x:c>
      <x:c r="B15" s="19" t="str">
        <x:v>Resume Sharing</x:v>
      </x:c>
      <x:c r="C15" s="19" t="str">
        <x:v>Viewer-only resume link</x:v>
      </x:c>
      <x:c r="D15" s="19" t="str">
        <x:v>Implemented</x:v>
      </x:c>
      <x:c r="E15" s="19" t="str">
        <x:v>Agency readiness flow turns on public viewer link without editor permission.</x:v>
      </x:c>
      <x:c r="F15" s="19" t="str">
        <x:v>src/services/agencyPartnerService.ts</x:v>
      </x:c>
      <x:c r="G15" s="19" t="str">
        <x:v>Engineering</x:v>
      </x:c>
      <x:c r="H15" s="19" t="str">
        <x:v>P0</x:v>
      </x:c>
      <x:c r="I15" s="19" t="str">
        <x:v>Pilot MVP</x:v>
      </x:c>
      <x:c r="J15" s="19" t="str">
        <x:v>Confirm permission copy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9" t="str">
        <x:v>AG-015</x:v>
      </x:c>
      <x:c r="B16" s="19" t="str">
        <x:v>Security</x:v>
      </x:c>
      <x:c r="C16" s="19" t="str">
        <x:v>Firestore rules for agency data</x:v>
      </x:c>
      <x:c r="D16" s="19" t="str">
        <x:v>Implemented</x:v>
      </x:c>
      <x:c r="E16" s="19" t="str">
        <x:v>Agency partners can read only branch sessions; candidate owns session updates; admin can read all.</x:v>
      </x:c>
      <x:c r="F16" s="19" t="str">
        <x:v>firestore.rules</x:v>
      </x:c>
      <x:c r="G16" s="19" t="str">
        <x:v>Engineering</x:v>
      </x:c>
      <x:c r="H16" s="19" t="str">
        <x:v>P0</x:v>
      </x:c>
      <x:c r="I16" s="19" t="str">
        <x:v>Pilot MVP</x:v>
      </x:c>
      <x:c r="J16" s="19" t="str">
        <x:v>Deploy rules if changed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9" t="str">
        <x:v>AG-016</x:v>
      </x:c>
      <x:c r="B17" s="19" t="str">
        <x:v>Resume Sharing</x:v>
      </x:c>
      <x:c r="C17" s="19" t="str">
        <x:v>Ready for recruiter review toggle</x:v>
      </x:c>
      <x:c r="D17" s="19" t="str">
        <x:v>Implemented</x:v>
      </x:c>
      <x:c r="E17" s="19" t="str">
        <x:v>Share modal includes readiness signal after public access is enabled.</x:v>
      </x:c>
      <x:c r="F17" s="19" t="str">
        <x:v>src/components/ShareResumeModal.tsx</x:v>
      </x:c>
      <x:c r="G17" s="19" t="str">
        <x:v>Product</x:v>
      </x:c>
      <x:c r="H17" s="19" t="str">
        <x:v>P1</x:v>
      </x:c>
      <x:c r="I17" s="19" t="str">
        <x:v>Pilot MVP</x:v>
      </x:c>
      <x:c r="J17" s="19" t="str">
        <x:v>Collect recruiter feedback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9" t="str">
        <x:v>AG-017</x:v>
      </x:c>
      <x:c r="B18" s="19" t="str">
        <x:v>Public Resume</x:v>
      </x:c>
      <x:c r="C18" s="19" t="str">
        <x:v>Recruiter readiness banner</x:v>
      </x:c>
      <x:c r="D18" s="19" t="str">
        <x:v>Implemented</x:v>
      </x:c>
      <x:c r="E18" s="19" t="str">
        <x:v>Public resume shows readiness banner when candidate marks resume recruiter-ready.</x:v>
      </x:c>
      <x:c r="F18" s="19" t="str">
        <x:v>src/pages/PublicResumePage.tsx</x:v>
      </x:c>
      <x:c r="G18" s="19" t="str">
        <x:v>Product</x:v>
      </x:c>
      <x:c r="H18" s="19" t="str">
        <x:v>P1</x:v>
      </x:c>
      <x:c r="I18" s="19" t="str">
        <x:v>Pilot MVP</x:v>
      </x:c>
      <x:c r="J18" s="19" t="str">
        <x:v>Refine wording with pilot feedback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9" t="str">
        <x:v>AG-018</x:v>
      </x:c>
      <x:c r="B19" s="19" t="str">
        <x:v>Demo</x:v>
      </x:c>
      <x:c r="C19" s="19" t="str">
        <x:v>Demo branch and sessions</x:v>
      </x:c>
      <x:c r="D19" s="19" t="str">
        <x:v>Implemented</x:v>
      </x:c>
      <x:c r="E19" s="19" t="str">
        <x:v>Demo Champaign agency branch and sample sessions/resumes exist in production Firestore.</x:v>
      </x:c>
      <x:c r="F19" s="19" t="str">
        <x:v>Firestore production data</x:v>
      </x:c>
      <x:c r="G19" s="19" t="str">
        <x:v>Founder</x:v>
      </x:c>
      <x:c r="H19" s="19" t="str">
        <x:v>P0</x:v>
      </x:c>
      <x:c r="I19" s="19" t="str">
        <x:v>Pilot Demo</x:v>
      </x:c>
      <x:c r="J19" s="19" t="str">
        <x:v>Refresh before meetings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9" t="str">
        <x:v>AG-019</x:v>
      </x:c>
      <x:c r="B20" s="19" t="str">
        <x:v>Limits</x:v>
      </x:c>
      <x:c r="C20" s="19" t="str">
        <x:v>Pilot seat enforcement</x:v>
      </x:c>
      <x:c r="D20" s="19" t="str">
        <x:v>Planned</x:v>
      </x:c>
      <x:c r="E20" s="19" t="str">
        <x:v>Enforce inviteLimit and show remaining seats to agency/admin.</x:v>
      </x:c>
      <x:c r="F20" s="19" t="str">
        <x:v>New service/rules work</x:v>
      </x:c>
      <x:c r="G20" s="19" t="str">
        <x:v>Engineering</x:v>
      </x:c>
      <x:c r="H20" s="19" t="str">
        <x:v>P1</x:v>
      </x:c>
      <x:c r="I20" s="19" t="str">
        <x:v>Next</x:v>
      </x:c>
      <x:c r="J20" s="19" t="str">
        <x:v>Define seat behavior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9" t="str">
        <x:v>AG-020</x:v>
      </x:c>
      <x:c r="B21" s="19" t="str">
        <x:v>Export</x:v>
      </x:c>
      <x:c r="C21" s="19" t="str">
        <x:v>Agency CSV export</x:v>
      </x:c>
      <x:c r="D21" s="19" t="str">
        <x:v>Planned</x:v>
      </x:c>
      <x:c r="E21" s="19" t="str">
        <x:v>Export shared candidates and readiness summaries for agency operations.</x:v>
      </x:c>
      <x:c r="F21" s="19" t="str">
        <x:v>New dashboard action</x:v>
      </x:c>
      <x:c r="G21" s="19" t="str">
        <x:v>Engineering</x:v>
      </x:c>
      <x:c r="H21" s="19" t="str">
        <x:v>P1</x:v>
      </x:c>
      <x:c r="I21" s="19" t="str">
        <x:v>Next</x:v>
      </x:c>
      <x:c r="J21" s="19" t="str">
        <x:v>Define fields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9" t="str">
        <x:v>AG-021</x:v>
      </x:c>
      <x:c r="B22" s="19" t="str">
        <x:v>Notifications</x:v>
      </x:c>
      <x:c r="C22" s="19" t="str">
        <x:v>Candidate invite email</x:v>
      </x:c>
      <x:c r="D22" s="19" t="str">
        <x:v>Planned</x:v>
      </x:c>
      <x:c r="E22" s="19" t="str">
        <x:v>Agency/admin can send candidate prep invites with branch link.</x:v>
      </x:c>
      <x:c r="F22" s="19" t="str">
        <x:v>Email/Novu/Firebase mail</x:v>
      </x:c>
      <x:c r="G22" s="19" t="str">
        <x:v>Engineering</x:v>
      </x:c>
      <x:c r="H22" s="19" t="str">
        <x:v>P1</x:v>
      </x:c>
      <x:c r="I22" s="19" t="str">
        <x:v>Next</x:v>
      </x:c>
      <x:c r="J22" s="19" t="str">
        <x:v>Draft template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9" t="str">
        <x:v>AG-022</x:v>
      </x:c>
      <x:c r="B23" s="19" t="str">
        <x:v>Branding</x:v>
      </x:c>
      <x:c r="C23" s="19" t="str">
        <x:v>Branch logo/color editor</x:v>
      </x:c>
      <x:c r="D23" s="19" t="str">
        <x:v>Planned</x:v>
      </x:c>
      <x:c r="E23" s="19" t="str">
        <x:v>Admin or agency owner can edit logo, color, and branch display copy.</x:v>
      </x:c>
      <x:c r="F23" s="19" t="str">
        <x:v>Agency branch settings</x:v>
      </x:c>
      <x:c r="G23" s="19" t="str">
        <x:v>Product</x:v>
      </x:c>
      <x:c r="H23" s="19" t="str">
        <x:v>P2</x:v>
      </x:c>
      <x:c r="I23" s="19" t="str">
        <x:v>Next</x:v>
      </x:c>
      <x:c r="J23" s="19" t="str">
        <x:v>Design simple settings panel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9" t="str">
        <x:v>AG-023</x:v>
      </x:c>
      <x:c r="B24" s="19" t="str">
        <x:v>Consent</x:v>
      </x:c>
      <x:c r="C24" s="19" t="str">
        <x:v>Consent revoke and audit history</x:v>
      </x:c>
      <x:c r="D24" s="19" t="str">
        <x:v>Planned</x:v>
      </x:c>
      <x:c r="E24" s="19" t="str">
        <x:v>Candidate can revoke agency sharing and system tracks consent timestamps.</x:v>
      </x:c>
      <x:c r="F24" s="19" t="str">
        <x:v>Rules/service/UI</x:v>
      </x:c>
      <x:c r="G24" s="19" t="str">
        <x:v>Engineering</x:v>
      </x:c>
      <x:c r="H24" s="19" t="str">
        <x:v>P1</x:v>
      </x:c>
      <x:c r="I24" s="19" t="str">
        <x:v>Next</x:v>
      </x:c>
      <x:c r="J24" s="19" t="str">
        <x:v>Model audit events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9" t="str">
        <x:v>AG-024</x:v>
      </x:c>
      <x:c r="B25" s="19" t="str">
        <x:v>Recruiter Workflow</x:v>
      </x:c>
      <x:c r="C25" s="19" t="str">
        <x:v>Recruiter notes and tags</x:v>
      </x:c>
      <x:c r="D25" s="19" t="str">
        <x:v>Planned</x:v>
      </x:c>
      <x:c r="E25" s="19" t="str">
        <x:v>Agency can add private branch notes/tags to shared candidates.</x:v>
      </x:c>
      <x:c r="F25" s="19" t="str">
        <x:v>New collection or session fields</x:v>
      </x:c>
      <x:c r="G25" s="19" t="str">
        <x:v>Product</x:v>
      </x:c>
      <x:c r="H25" s="19" t="str">
        <x:v>P2</x:v>
      </x:c>
      <x:c r="I25" s="19" t="str">
        <x:v>Later</x:v>
      </x:c>
      <x:c r="J25" s="19" t="str">
        <x:v>Validate need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9" t="str">
        <x:v>AG-025</x:v>
      </x:c>
      <x:c r="B26" s="19" t="str">
        <x:v>Billing</x:v>
      </x:c>
      <x:c r="C26" s="19" t="str">
        <x:v>Pilot pricing and subscription flow</x:v>
      </x:c>
      <x:c r="D26" s="19" t="str">
        <x:v>Planned</x:v>
      </x:c>
      <x:c r="E26" s="19" t="str">
        <x:v>Convert successful pilot to monthly branch plan.</x:v>
      </x:c>
      <x:c r="F26" s="19" t="str">
        <x:v>Stripe/Billing</x:v>
      </x:c>
      <x:c r="G26" s="19" t="str">
        <x:v>Founder</x:v>
      </x:c>
      <x:c r="H26" s="19" t="str">
        <x:v>P2</x:v>
      </x:c>
      <x:c r="I26" s="19" t="str">
        <x:v>Later</x:v>
      </x:c>
      <x:c r="J26" s="19" t="str">
        <x:v>Choose pricing after pilots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9" t="str">
        <x:v>AG-026</x:v>
      </x:c>
      <x:c r="B27" s="19" t="str">
        <x:v>Integrations</x:v>
      </x:c>
      <x:c r="C27" s="19" t="str">
        <x:v>Webhook or ATS API sync</x:v>
      </x:c>
      <x:c r="D27" s="19" t="str">
        <x:v>Future</x:v>
      </x:c>
      <x:c r="E27" s="19" t="str">
        <x:v>Push finalized resume data into ATS only after pilot proves value.</x:v>
      </x:c>
      <x:c r="F27" s="19" t="str">
        <x:v>Cloud Functions/API</x:v>
      </x:c>
      <x:c r="G27" s="19" t="str">
        <x:v>Engineering</x:v>
      </x:c>
      <x:c r="H27" s="19" t="str">
        <x:v>P3</x:v>
      </x:c>
      <x:c r="I27" s="19" t="str">
        <x:v>Future</x:v>
      </x:c>
      <x:c r="J27" s="19" t="str">
        <x:v>Do not lead with this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9" t="str">
        <x:v>AG-027</x:v>
      </x:c>
      <x:c r="B28" s="19" t="str">
        <x:v>Outcomes</x:v>
      </x:c>
      <x:c r="C28" s="19" t="str">
        <x:v>Placement outcome tracking</x:v>
      </x:c>
      <x:c r="D28" s="19" t="str">
        <x:v>Planned</x:v>
      </x:c>
      <x:c r="E28" s="19" t="str">
        <x:v>Track placed, not placed, interview scheduled, client sent outcomes.</x:v>
      </x:c>
      <x:c r="F28" s="19" t="str">
        <x:v>Agency dashboard</x:v>
      </x:c>
      <x:c r="G28" s="19" t="str">
        <x:v>Product</x:v>
      </x:c>
      <x:c r="H28" s="19" t="str">
        <x:v>P2</x:v>
      </x:c>
      <x:c r="I28" s="19" t="str">
        <x:v>Later</x:v>
      </x:c>
      <x:c r="J28" s="19" t="str">
        <x:v>Define statuses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9" t="str">
        <x:v>AG-028</x:v>
      </x:c>
      <x:c r="B29" s="19" t="str">
        <x:v>Reporting</x:v>
      </x:c>
      <x:c r="C29" s="19" t="str">
        <x:v>Branch ROI report</x:v>
      </x:c>
      <x:c r="D29" s="19" t="str">
        <x:v>Planned</x:v>
      </x:c>
      <x:c r="E29" s="19" t="str">
        <x:v>Summarize score lift, time saved, shared reports, placements, conversion rate.</x:v>
      </x:c>
      <x:c r="F29" s="19" t="str">
        <x:v>Dashboard/report export</x:v>
      </x:c>
      <x:c r="G29" s="19" t="str">
        <x:v>Product</x:v>
      </x:c>
      <x:c r="H29" s="19" t="str">
        <x:v>P1</x:v>
      </x:c>
      <x:c r="I29" s="19" t="str">
        <x:v>Next</x:v>
      </x:c>
      <x:c r="J29" s="19" t="str">
        <x:v>Create after first pilot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9" t="str">
        <x:v>AG-029</x:v>
      </x:c>
      <x:c r="B30" s="19" t="str">
        <x:v>Search</x:v>
      </x:c>
      <x:c r="C30" s="19" t="str">
        <x:v>Agency candidate search/filter</x:v>
      </x:c>
      <x:c r="D30" s="19" t="str">
        <x:v>Planned</x:v>
      </x:c>
      <x:c r="E30" s="19" t="str">
        <x:v>Search sessions by name/email/status/score/readiness.</x:v>
      </x:c>
      <x:c r="F30" s="19" t="str">
        <x:v>Agency dashboard</x:v>
      </x:c>
      <x:c r="G30" s="19" t="str">
        <x:v>Engineering</x:v>
      </x:c>
      <x:c r="H30" s="19" t="str">
        <x:v>P1</x:v>
      </x:c>
      <x:c r="I30" s="19" t="str">
        <x:v>Next</x:v>
      </x:c>
      <x:c r="J30" s="19" t="str">
        <x:v>Add once session list grows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9" t="str">
        <x:v>AG-030</x:v>
      </x:c>
      <x:c r="B31" s="19" t="str">
        <x:v>Legal</x:v>
      </x:c>
      <x:c r="C31" s="19" t="str">
        <x:v>Agency pilot terms and privacy copy</x:v>
      </x:c>
      <x:c r="D31" s="19" t="str">
        <x:v>Planned</x:v>
      </x:c>
      <x:c r="E31" s="19" t="str">
        <x:v>Simple terms/privacy language for agency branch pilots and candidate sharing.</x:v>
      </x:c>
      <x:c r="F31" s="19" t="str">
        <x:v>Docs/public copy</x:v>
      </x:c>
      <x:c r="G31" s="19" t="str">
        <x:v>Founder</x:v>
      </x:c>
      <x:c r="H31" s="19" t="str">
        <x:v>P0</x:v>
      </x:c>
      <x:c r="I31" s="19" t="str">
        <x:v>Before Paid</x:v>
      </x:c>
      <x:c r="J31" s="19" t="str">
        <x:v>Draft before paid pilot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2">
    <x:dataValidation type="list" sqref="D2:D80">
      <x:formula1>"Implemented,In Progress,Planned,Future,Blocked,Deferred"</x:formula1>
    </x:dataValidation>
    <x:dataValidation type="list" sqref="H2:H8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54305bb0042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8.889999389648438" hidden="0" customWidth="1"/>
    <x:col min="3" max="3" width="40" hidden="0" customWidth="1"/>
    <x:col min="4" max="4" width="11.670000076293945" hidden="0" customWidth="1"/>
    <x:col min="5" max="5" width="12.220000267028809" hidden="0" customWidth="1"/>
    <x:col min="6" max="6" width="20" hidden="0" customWidth="1"/>
    <x:col min="7" max="7" width="8.890000343322754" hidden="0" customWidth="1"/>
    <x:col min="8" max="8" width="16.670000076293945" hidden="0" customWidth="1"/>
  </x:cols>
  <x:sheetData>
    <x:row r="1">
      <x:c r="A1" s="12" t="str">
        <x:v>Phase</x:v>
      </x:c>
      <x:c r="B1" s="12" t="str">
        <x:v>Theme</x:v>
      </x:c>
      <x:c r="C1" s="12" t="str">
        <x:v>Feature / Workstream</x:v>
      </x:c>
      <x:c r="D1" s="12" t="str">
        <x:v>Owner</x:v>
      </x:c>
      <x:c r="E1" s="12" t="str">
        <x:v>Status</x:v>
      </x:c>
      <x:c r="F1" s="12" t="str">
        <x:v>Dependency</x:v>
      </x:c>
      <x:c r="G1" s="12" t="str">
        <x:v>Priority</x:v>
      </x:c>
      <x:c r="H1" s="12" t="str">
        <x:v>Target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Now</x:v>
      </x:c>
      <x:c r="B2" s="19" t="str">
        <x:v>Demo readiness</x:v>
      </x:c>
      <x:c r="C2" s="19" t="str">
        <x:v>Use demo branch and current MVP in live agency conversations.</x:v>
      </x:c>
      <x:c r="D2" s="19" t="str">
        <x:v>Founder</x:v>
      </x:c>
      <x:c r="E2" s="19" t="str">
        <x:v>Ready</x:v>
      </x:c>
      <x:c r="F2" s="19" t="str">
        <x:v>Demo branch</x:v>
      </x:c>
      <x:c r="G2" s="19" t="str">
        <x:v>High</x:v>
      </x:c>
      <x:c r="H2" s="19" t="str">
        <x:v>This week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9" t="str">
        <x:v>Now</x:v>
      </x:c>
      <x:c r="B3" s="19" t="str">
        <x:v>Agency outreach tracking</x:v>
      </x:c>
      <x:c r="C3" s="19" t="str">
        <x:v>Keep branch conversations, contacts, follow-ups, and deal status in the agency pipeline workbook.</x:v>
      </x:c>
      <x:c r="D3" s="19" t="str">
        <x:v>Founder</x:v>
      </x:c>
      <x:c r="E3" s="19" t="str">
        <x:v>Ready</x:v>
      </x:c>
      <x:c r="F3" s="19" t="str">
        <x:v>Pipeline workbook</x:v>
      </x:c>
      <x:c r="G3" s="19" t="str">
        <x:v>High</x:v>
      </x:c>
      <x:c r="H3" s="19" t="str">
        <x:v>This week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9" t="str">
        <x:v>Next</x:v>
      </x:c>
      <x:c r="B4" s="19" t="str">
        <x:v>Seat limits</x:v>
      </x:c>
      <x:c r="C4" s="19" t="str">
        <x:v>Enforce invite limit and show used/remaining pilot seats.</x:v>
      </x:c>
      <x:c r="D4" s="19" t="str">
        <x:v>Engineering</x:v>
      </x:c>
      <x:c r="E4" s="19" t="str">
        <x:v>Planned</x:v>
      </x:c>
      <x:c r="F4" s="19" t="str">
        <x:v>agencyPrepSessions count</x:v>
      </x:c>
      <x:c r="G4" s="19" t="str">
        <x:v>High</x:v>
      </x:c>
      <x:c r="H4" s="19" t="str">
        <x:v>Before paid pilot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Next</x:v>
      </x:c>
      <x:c r="B5" s="19" t="str">
        <x:v>CSV export</x:v>
      </x:c>
      <x:c r="C5" s="19" t="str">
        <x:v>Let agency export shared readiness reports for branch operations.</x:v>
      </x:c>
      <x:c r="D5" s="19" t="str">
        <x:v>Engineering</x:v>
      </x:c>
      <x:c r="E5" s="19" t="str">
        <x:v>Planned</x:v>
      </x:c>
      <x:c r="F5" s="19" t="str">
        <x:v>Ready Reports tab</x:v>
      </x:c>
      <x:c r="G5" s="19" t="str">
        <x:v>High</x:v>
      </x:c>
      <x:c r="H5" s="19" t="str">
        <x:v>Before paid pilot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Next</x:v>
      </x:c>
      <x:c r="B6" s="19" t="str">
        <x:v>Consent revoke</x:v>
      </x:c>
      <x:c r="C6" s="19" t="str">
        <x:v>Candidate can revoke shared access and agency report updates accordingly.</x:v>
      </x:c>
      <x:c r="D6" s="19" t="str">
        <x:v>Engineering</x:v>
      </x:c>
      <x:c r="E6" s="19" t="str">
        <x:v>Planned</x:v>
      </x:c>
      <x:c r="F6" s="19" t="str">
        <x:v>shareConfig + session audit</x:v>
      </x:c>
      <x:c r="G6" s="19" t="str">
        <x:v>High</x:v>
      </x:c>
      <x:c r="H6" s="19" t="str">
        <x:v>Before paid pilot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Next</x:v>
      </x:c>
      <x:c r="B7" s="19" t="str">
        <x:v>Pilot ROI report</x:v>
      </x:c>
      <x:c r="C7" s="19" t="str">
        <x:v>Generate branch summary of score lift, shared candidates, time saved, and placement outcomes.</x:v>
      </x:c>
      <x:c r="D7" s="19" t="str">
        <x:v>Product</x:v>
      </x:c>
      <x:c r="E7" s="19" t="str">
        <x:v>Planned</x:v>
      </x:c>
      <x:c r="F7" s="19" t="str">
        <x:v>Pilot metrics</x:v>
      </x:c>
      <x:c r="G7" s="19" t="str">
        <x:v>High</x:v>
      </x:c>
      <x:c r="H7" s="19" t="str">
        <x:v>After first pilot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9" t="str">
        <x:v>Later</x:v>
      </x:c>
      <x:c r="B8" s="19" t="str">
        <x:v>Recruiter notes/tags</x:v>
      </x:c>
      <x:c r="C8" s="19" t="str">
        <x:v>Agency can tag and note shared candidate records.</x:v>
      </x:c>
      <x:c r="D8" s="19" t="str">
        <x:v>Product</x:v>
      </x:c>
      <x:c r="E8" s="19" t="str">
        <x:v>Planned</x:v>
      </x:c>
      <x:c r="F8" s="19" t="str">
        <x:v>Agency dashboard</x:v>
      </x:c>
      <x:c r="G8" s="19" t="str">
        <x:v>Medium</x:v>
      </x:c>
      <x:c r="H8" s="19" t="str">
        <x:v>After usage proof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9" t="str">
        <x:v>Later</x:v>
      </x:c>
      <x:c r="B9" s="19" t="str">
        <x:v>ATS/webhook integration</x:v>
      </x:c>
      <x:c r="C9" s="19" t="str">
        <x:v>Optional ATS sync for finalized profiles once a branch pays.</x:v>
      </x:c>
      <x:c r="D9" s="19" t="str">
        <x:v>Engineering</x:v>
      </x:c>
      <x:c r="E9" s="19" t="str">
        <x:v>Future</x:v>
      </x:c>
      <x:c r="F9" s="19" t="str">
        <x:v>API design</x:v>
      </x:c>
      <x:c r="G9" s="19" t="str">
        <x:v>Low</x:v>
      </x:c>
      <x:c r="H9" s="19" t="str">
        <x:v>Paid phase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9" t="str">
        <x:v>Later</x:v>
      </x:c>
      <x:c r="B10" s="19" t="str">
        <x:v>Billing conversion</x:v>
      </x:c>
      <x:c r="C10" s="19" t="str">
        <x:v>Stripe plan for branch license or volume tier.</x:v>
      </x:c>
      <x:c r="D10" s="19" t="str">
        <x:v>Founder</x:v>
      </x:c>
      <x:c r="E10" s="19" t="str">
        <x:v>Future</x:v>
      </x:c>
      <x:c r="F10" s="19" t="str">
        <x:v>Pricing decision</x:v>
      </x:c>
      <x:c r="G10" s="19" t="str">
        <x:v>Medium</x:v>
      </x:c>
      <x:c r="H10" s="19" t="str">
        <x:v>After first pilot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2">
    <x:dataValidation type="list" sqref="E2:E60">
      <x:formula1>"Implemented,In Progress,Planned,Future,Blocked,Deferred"</x:formula1>
    </x:dataValidation>
    <x:dataValidation type="list" sqref="G2:G6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cfe1b19f9b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4.440000534057617" hidden="0" customWidth="1"/>
    <x:col min="3" max="3" width="13.329999923706055" hidden="0" customWidth="1"/>
    <x:col min="4" max="4" width="40" hidden="0" customWidth="1"/>
    <x:col min="5" max="5" width="16.110000610351562" hidden="0" customWidth="1"/>
    <x:col min="6" max="6" width="28.889999389648438" hidden="0" customWidth="1"/>
  </x:cols>
  <x:sheetData>
    <x:row r="1">
      <x:c r="A1" s="12" t="str">
        <x:v>ID</x:v>
      </x:c>
      <x:c r="B1" s="12" t="str">
        <x:v>Test Area</x:v>
      </x:c>
      <x:c r="C1" s="12" t="str">
        <x:v>Role</x:v>
      </x:c>
      <x:c r="D1" s="12" t="str">
        <x:v>Test Step</x:v>
      </x:c>
      <x:c r="E1" s="12" t="str">
        <x:v>Status</x:v>
      </x:c>
      <x:c r="F1" s="12" t="str">
        <x:v>Notes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QA-001</x:v>
      </x:c>
      <x:c r="B2" s="19" t="str">
        <x:v>/partners/agency loads publicly</x:v>
      </x:c>
      <x:c r="C2" s="19" t="str">
        <x:v>Public visitor</x:v>
      </x:c>
      <x:c r="D2" s="19" t="str">
        <x:v>Open route and confirm CTA routes to /partners/apply?type=agency</x:v>
      </x:c>
      <x:c r="E2" s="19" t="str">
        <x:v>Passed</x:v>
      </x:c>
      <x:c r="F2" s="19" t="str">
        <x:v>Hosting deployed 2026-05-30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9" t="str">
        <x:v>QA-002</x:v>
      </x:c>
      <x:c r="B3" s="19" t="str">
        <x:v>Agency application type appears in admin</x:v>
      </x:c>
      <x:c r="C3" s="19" t="str">
        <x:v>Admin</x:v>
      </x:c>
      <x:c r="D3" s="19" t="str">
        <x:v>Submit type=agency and confirm row/type display</x:v>
      </x:c>
      <x:c r="E3" s="19" t="str">
        <x:v>Needs Real Pilot Test</x:v>
      </x:c>
      <x:c r="F3" s="19" t="str">
        <x:v>Use next agency application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9" t="str">
        <x:v>QA-003</x:v>
      </x:c>
      <x:c r="B4" s="19" t="str">
        <x:v>Approved agency gets agency_partner role</x:v>
      </x:c>
      <x:c r="C4" s="19" t="str">
        <x:v>Admin/Function</x:v>
      </x:c>
      <x:c r="D4" s="19" t="str">
        <x:v>Approve agency application and inspect user role</x:v>
      </x:c>
      <x:c r="E4" s="19" t="str">
        <x:v>Needs Real Pilot Test</x:v>
      </x:c>
      <x:c r="F4" s="19" t="str">
        <x:v>Requires function deploy/trigger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QA-004</x:v>
      </x:c>
      <x:c r="B5" s="19" t="str">
        <x:v>Branch invite link resolves</x:v>
      </x:c>
      <x:c r="C5" s="19" t="str">
        <x:v>Candidate</x:v>
      </x:c>
      <x:c r="D5" s="19" t="str">
        <x:v>Open /prepare/{slug} and confirm branch loads</x:v>
      </x:c>
      <x:c r="E5" s="19" t="str">
        <x:v>Passed</x:v>
      </x:c>
      <x:c r="F5" s="19" t="str">
        <x:v>Demo branch available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QA-005</x:v>
      </x:c>
      <x:c r="B6" s="19" t="str">
        <x:v>Prep session creates/updates</x:v>
      </x:c>
      <x:c r="C6" s="19" t="str">
        <x:v>Candidate</x:v>
      </x:c>
      <x:c r="D6" s="19" t="str">
        <x:v>Sign in, open prep link, select resume, confirm session</x:v>
      </x:c>
      <x:c r="E6" s="19" t="str">
        <x:v>Passed Demo</x:v>
      </x:c>
      <x:c r="F6" s="19" t="str">
        <x:v>Demo session seeded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QA-006</x:v>
      </x:c>
      <x:c r="B7" s="19" t="str">
        <x:v>Agency progress-only view before consent</x:v>
      </x:c>
      <x:c r="C7" s="19" t="str">
        <x:v>Agency/Admin</x:v>
      </x:c>
      <x:c r="D7" s="19" t="str">
        <x:v>Confirm dashboard shows status/score but not full resume until shared</x:v>
      </x:c>
      <x:c r="E7" s="19" t="str">
        <x:v>Passed Demo</x:v>
      </x:c>
      <x:c r="F7" s="19" t="str">
        <x:v>Review privacy with real branch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9" t="str">
        <x:v>QA-007</x:v>
      </x:c>
      <x:c r="B8" s="19" t="str">
        <x:v>Candidate share readiness</x:v>
      </x:c>
      <x:c r="C8" s="19" t="str">
        <x:v>Candidate</x:v>
      </x:c>
      <x:c r="D8" s="19" t="str">
        <x:v>Click Share readiness report and confirm session status shared</x:v>
      </x:c>
      <x:c r="E8" s="19" t="str">
        <x:v>Passed Demo</x:v>
      </x:c>
      <x:c r="F8" s="19" t="str">
        <x:v>Monitor first real user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9" t="str">
        <x:v>QA-008</x:v>
      </x:c>
      <x:c r="B9" s="19" t="str">
        <x:v>Agency opens shared report/resume after consent</x:v>
      </x:c>
      <x:c r="C9" s="19" t="str">
        <x:v>Agency/Admin</x:v>
      </x:c>
      <x:c r="D9" s="19" t="str">
        <x:v>Open Ready Reports and resume link</x:v>
      </x:c>
      <x:c r="E9" s="19" t="str">
        <x:v>Passed Demo</x:v>
      </x:c>
      <x:c r="F9" s="19" t="str">
        <x:v>Viewer-only mode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9" t="str">
        <x:v>QA-009</x:v>
      </x:c>
      <x:c r="B10" s="19" t="str">
        <x:v>Share modal readiness toggle</x:v>
      </x:c>
      <x:c r="C10" s="19" t="str">
        <x:v>Candidate</x:v>
      </x:c>
      <x:c r="D10" s="19" t="str">
        <x:v>Toggle Ready for recruiter review and confirm public banner</x:v>
      </x:c>
      <x:c r="E10" s="19" t="str">
        <x:v>Passed Build</x:v>
      </x:c>
      <x:c r="F10" s="19" t="str">
        <x:v>Frontend deployed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9" t="str">
        <x:v>QA-010</x:v>
      </x:c>
      <x:c r="B11" s="19" t="str">
        <x:v>Existing business partner flow unchanged</x:v>
      </x:c>
      <x:c r="C11" s="19" t="str">
        <x:v>Regression</x:v>
      </x:c>
      <x:c r="D11" s="19" t="str">
        <x:v>Verify business dashboard and partner application still load</x:v>
      </x:c>
      <x:c r="E11" s="19" t="str">
        <x:v>Not Run</x:v>
      </x:c>
      <x:c r="F11" s="19" t="str">
        <x:v>Run before broader release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/>
      <x:c r="B12" s="19"/>
      <x:c r="C12" s="19"/>
      <x:c r="D12" s="19"/>
      <x:c r="E12" s="19"/>
      <x:c r="F12" s="1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/>
      <x:c r="B13" s="19"/>
      <x:c r="C13" s="19"/>
      <x:c r="D13" s="19"/>
      <x:c r="E13" s="19"/>
      <x:c r="F13" s="19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9"/>
      <x:c r="B17" s="19"/>
      <x:c r="C17" s="19"/>
      <x:c r="D17" s="19"/>
      <x:c r="E17" s="19"/>
      <x:c r="F17" s="19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9"/>
      <x:c r="B18" s="19"/>
      <x:c r="C18" s="19"/>
      <x:c r="D18" s="19"/>
      <x:c r="E18" s="19"/>
      <x:c r="F18" s="19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9"/>
      <x:c r="B19" s="19"/>
      <x:c r="C19" s="19"/>
      <x:c r="D19" s="19"/>
      <x:c r="E19" s="19"/>
      <x:c r="F19" s="19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9"/>
      <x:c r="B20" s="19"/>
      <x:c r="C20" s="19"/>
      <x:c r="D20" s="19"/>
      <x:c r="E20" s="19"/>
      <x:c r="F20" s="19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9"/>
      <x:c r="B21" s="19"/>
      <x:c r="C21" s="19"/>
      <x:c r="D21" s="19"/>
      <x:c r="E21" s="19"/>
      <x:c r="F21" s="19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9"/>
      <x:c r="B22" s="19"/>
      <x:c r="C22" s="19"/>
      <x:c r="D22" s="19"/>
      <x:c r="E22" s="19"/>
      <x:c r="F22" s="19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9"/>
      <x:c r="B23" s="19"/>
      <x:c r="C23" s="19"/>
      <x:c r="D23" s="19"/>
      <x:c r="E23" s="19"/>
      <x:c r="F23" s="19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9"/>
      <x:c r="B24" s="19"/>
      <x:c r="C24" s="19"/>
      <x:c r="D24" s="19"/>
      <x:c r="E24" s="19"/>
      <x:c r="F24" s="19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9"/>
      <x:c r="B25" s="19"/>
      <x:c r="C25" s="19"/>
      <x:c r="D25" s="19"/>
      <x:c r="E25" s="19"/>
      <x:c r="F25" s="19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9"/>
      <x:c r="B26" s="19"/>
      <x:c r="C26" s="19"/>
      <x:c r="D26" s="19"/>
      <x:c r="E26" s="19"/>
      <x:c r="F26" s="19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9"/>
      <x:c r="B27" s="19"/>
      <x:c r="C27" s="19"/>
      <x:c r="D27" s="19"/>
      <x:c r="E27" s="19"/>
      <x:c r="F27" s="19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9"/>
      <x:c r="B28" s="19"/>
      <x:c r="C28" s="19"/>
      <x:c r="D28" s="19"/>
      <x:c r="E28" s="19"/>
      <x:c r="F28" s="19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9"/>
      <x:c r="B29" s="19"/>
      <x:c r="C29" s="19"/>
      <x:c r="D29" s="19"/>
      <x:c r="E29" s="19"/>
      <x:c r="F29" s="19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9"/>
      <x:c r="B30" s="19"/>
      <x:c r="C30" s="19"/>
      <x:c r="D30" s="19"/>
      <x:c r="E30" s="19"/>
      <x:c r="F30" s="19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9"/>
      <x:c r="B31" s="19"/>
      <x:c r="C31" s="19"/>
      <x:c r="D31" s="19"/>
      <x:c r="E31" s="19"/>
      <x:c r="F31" s="19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9"/>
      <x:c r="B32" s="19"/>
      <x:c r="C32" s="19"/>
      <x:c r="D32" s="19"/>
      <x:c r="E32" s="19"/>
      <x:c r="F32" s="19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9"/>
      <x:c r="B33" s="19"/>
      <x:c r="C33" s="19"/>
      <x:c r="D33" s="19"/>
      <x:c r="E33" s="19"/>
      <x:c r="F33" s="19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9"/>
      <x:c r="B34" s="19"/>
      <x:c r="C34" s="19"/>
      <x:c r="D34" s="19"/>
      <x:c r="E34" s="19"/>
      <x:c r="F34" s="19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9"/>
      <x:c r="B35" s="19"/>
      <x:c r="C35" s="19"/>
      <x:c r="D35" s="19"/>
      <x:c r="E35" s="19"/>
      <x:c r="F35" s="19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9"/>
      <x:c r="B36" s="19"/>
      <x:c r="C36" s="19"/>
      <x:c r="D36" s="19"/>
      <x:c r="E36" s="19"/>
      <x:c r="F36" s="19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9"/>
      <x:c r="B37" s="19"/>
      <x:c r="C37" s="19"/>
      <x:c r="D37" s="19"/>
      <x:c r="E37" s="19"/>
      <x:c r="F37" s="19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9"/>
      <x:c r="B38" s="19"/>
      <x:c r="C38" s="19"/>
      <x:c r="D38" s="19"/>
      <x:c r="E38" s="19"/>
      <x:c r="F38" s="19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9"/>
      <x:c r="B39" s="19"/>
      <x:c r="C39" s="19"/>
      <x:c r="D39" s="19"/>
      <x:c r="E39" s="19"/>
      <x:c r="F39" s="19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9"/>
      <x:c r="B40" s="19"/>
      <x:c r="C40" s="19"/>
      <x:c r="D40" s="19"/>
      <x:c r="E40" s="19"/>
      <x:c r="F40" s="19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9"/>
      <x:c r="B41" s="19"/>
      <x:c r="C41" s="19"/>
      <x:c r="D41" s="19"/>
      <x:c r="E41" s="19"/>
      <x:c r="F41" s="19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9"/>
      <x:c r="B42" s="19"/>
      <x:c r="C42" s="19"/>
      <x:c r="D42" s="19"/>
      <x:c r="E42" s="19"/>
      <x:c r="F42" s="19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9"/>
      <x:c r="B43" s="19"/>
      <x:c r="C43" s="19"/>
      <x:c r="D43" s="19"/>
      <x:c r="E43" s="19"/>
      <x:c r="F43" s="19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9"/>
      <x:c r="B44" s="19"/>
      <x:c r="C44" s="19"/>
      <x:c r="D44" s="19"/>
      <x:c r="E44" s="19"/>
      <x:c r="F44" s="19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9"/>
      <x:c r="B45" s="19"/>
      <x:c r="C45" s="19"/>
      <x:c r="D45" s="19"/>
      <x:c r="E45" s="19"/>
      <x:c r="F45" s="19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9"/>
      <x:c r="B46" s="19"/>
      <x:c r="C46" s="19"/>
      <x:c r="D46" s="19"/>
      <x:c r="E46" s="19"/>
      <x:c r="F46" s="19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9"/>
      <x:c r="B47" s="19"/>
      <x:c r="C47" s="19"/>
      <x:c r="D47" s="19"/>
      <x:c r="E47" s="19"/>
      <x:c r="F47" s="19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9"/>
      <x:c r="B48" s="19"/>
      <x:c r="C48" s="19"/>
      <x:c r="D48" s="19"/>
      <x:c r="E48" s="19"/>
      <x:c r="F48" s="19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9"/>
      <x:c r="B49" s="19"/>
      <x:c r="C49" s="19"/>
      <x:c r="D49" s="19"/>
      <x:c r="E49" s="19"/>
      <x:c r="F49" s="19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9"/>
      <x:c r="B50" s="19"/>
      <x:c r="C50" s="19"/>
      <x:c r="D50" s="19"/>
      <x:c r="E50" s="19"/>
      <x:c r="F50" s="19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9"/>
      <x:c r="B51" s="19"/>
      <x:c r="C51" s="19"/>
      <x:c r="D51" s="19"/>
      <x:c r="E51" s="19"/>
      <x:c r="F51" s="19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9"/>
      <x:c r="B52" s="19"/>
      <x:c r="C52" s="19"/>
      <x:c r="D52" s="19"/>
      <x:c r="E52" s="19"/>
      <x:c r="F52" s="19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9"/>
      <x:c r="B53" s="19"/>
      <x:c r="C53" s="19"/>
      <x:c r="D53" s="19"/>
      <x:c r="E53" s="19"/>
      <x:c r="F53" s="19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9"/>
      <x:c r="B54" s="19"/>
      <x:c r="C54" s="19"/>
      <x:c r="D54" s="19"/>
      <x:c r="E54" s="19"/>
      <x:c r="F54" s="19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9"/>
      <x:c r="B55" s="19"/>
      <x:c r="C55" s="19"/>
      <x:c r="D55" s="19"/>
      <x:c r="E55" s="19"/>
      <x:c r="F55" s="19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9"/>
      <x:c r="B56" s="19"/>
      <x:c r="C56" s="19"/>
      <x:c r="D56" s="19"/>
      <x:c r="E56" s="19"/>
      <x:c r="F56" s="19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9"/>
      <x:c r="B57" s="19"/>
      <x:c r="C57" s="19"/>
      <x:c r="D57" s="19"/>
      <x:c r="E57" s="19"/>
      <x:c r="F57" s="19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9"/>
      <x:c r="B58" s="19"/>
      <x:c r="C58" s="19"/>
      <x:c r="D58" s="19"/>
      <x:c r="E58" s="19"/>
      <x:c r="F58" s="19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9"/>
      <x:c r="B59" s="19"/>
      <x:c r="C59" s="19"/>
      <x:c r="D59" s="19"/>
      <x:c r="E59" s="19"/>
      <x:c r="F59" s="19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9"/>
      <x:c r="B60" s="19"/>
      <x:c r="C60" s="19"/>
      <x:c r="D60" s="19"/>
      <x:c r="E60" s="19"/>
      <x:c r="F60" s="19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9"/>
      <x:c r="B61" s="19"/>
      <x:c r="C61" s="19"/>
      <x:c r="D61" s="19"/>
      <x:c r="E61" s="19"/>
      <x:c r="F61" s="19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9"/>
      <x:c r="B62" s="19"/>
      <x:c r="C62" s="19"/>
      <x:c r="D62" s="19"/>
      <x:c r="E62" s="19"/>
      <x:c r="F62" s="19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9"/>
      <x:c r="B63" s="19"/>
      <x:c r="C63" s="19"/>
      <x:c r="D63" s="19"/>
      <x:c r="E63" s="19"/>
      <x:c r="F63" s="19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9"/>
      <x:c r="B64" s="19"/>
      <x:c r="C64" s="19"/>
      <x:c r="D64" s="19"/>
      <x:c r="E64" s="19"/>
      <x:c r="F64" s="19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9"/>
      <x:c r="B65" s="19"/>
      <x:c r="C65" s="19"/>
      <x:c r="D65" s="19"/>
      <x:c r="E65" s="19"/>
      <x:c r="F65" s="19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9"/>
      <x:c r="B66" s="19"/>
      <x:c r="C66" s="19"/>
      <x:c r="D66" s="19"/>
      <x:c r="E66" s="19"/>
      <x:c r="F66" s="19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9"/>
      <x:c r="B67" s="19"/>
      <x:c r="C67" s="19"/>
      <x:c r="D67" s="19"/>
      <x:c r="E67" s="19"/>
      <x:c r="F67" s="19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9"/>
      <x:c r="B68" s="19"/>
      <x:c r="C68" s="19"/>
      <x:c r="D68" s="19"/>
      <x:c r="E68" s="19"/>
      <x:c r="F68" s="19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9"/>
      <x:c r="B69" s="19"/>
      <x:c r="C69" s="19"/>
      <x:c r="D69" s="19"/>
      <x:c r="E69" s="19"/>
      <x:c r="F69" s="19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9"/>
      <x:c r="B70" s="19"/>
      <x:c r="C70" s="19"/>
      <x:c r="D70" s="19"/>
      <x:c r="E70" s="19"/>
      <x:c r="F70" s="19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9"/>
      <x:c r="B71" s="19"/>
      <x:c r="C71" s="19"/>
      <x:c r="D71" s="19"/>
      <x:c r="E71" s="19"/>
      <x:c r="F71" s="19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9"/>
      <x:c r="B72" s="19"/>
      <x:c r="C72" s="19"/>
      <x:c r="D72" s="19"/>
      <x:c r="E72" s="19"/>
      <x:c r="F72" s="19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9"/>
      <x:c r="B73" s="19"/>
      <x:c r="C73" s="19"/>
      <x:c r="D73" s="19"/>
      <x:c r="E73" s="19"/>
      <x:c r="F73" s="19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9"/>
      <x:c r="B74" s="19"/>
      <x:c r="C74" s="19"/>
      <x:c r="D74" s="19"/>
      <x:c r="E74" s="19"/>
      <x:c r="F74" s="19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9"/>
      <x:c r="B75" s="19"/>
      <x:c r="C75" s="19"/>
      <x:c r="D75" s="19"/>
      <x:c r="E75" s="19"/>
      <x:c r="F75" s="19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9"/>
      <x:c r="B76" s="19"/>
      <x:c r="C76" s="19"/>
      <x:c r="D76" s="19"/>
      <x:c r="E76" s="19"/>
      <x:c r="F76" s="19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9"/>
      <x:c r="B77" s="19"/>
      <x:c r="C77" s="19"/>
      <x:c r="D77" s="19"/>
      <x:c r="E77" s="19"/>
      <x:c r="F77" s="19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9"/>
      <x:c r="B78" s="19"/>
      <x:c r="C78" s="19"/>
      <x:c r="D78" s="19"/>
      <x:c r="E78" s="19"/>
      <x:c r="F78" s="19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9"/>
      <x:c r="B79" s="19"/>
      <x:c r="C79" s="19"/>
      <x:c r="D79" s="19"/>
      <x:c r="E79" s="19"/>
      <x:c r="F79" s="19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9"/>
      <x:c r="B80" s="19"/>
      <x:c r="C80" s="19"/>
      <x:c r="D80" s="19"/>
      <x:c r="E80" s="19"/>
      <x:c r="F80" s="19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1">
    <x:dataValidation type="list" sqref="E2:E80">
      <x:formula1>"Passed,Passed Demo,Passed Build,Needs Real Pilot Test,Not 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9849f8f8d4d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" hidden="0" customWidth="1"/>
    <x:col min="3" max="3" width="15.5600004196167" hidden="0" customWidth="1"/>
    <x:col min="4" max="4" width="18.889999389648438" hidden="0" customWidth="1"/>
  </x:cols>
  <x:sheetData>
    <x:row r="1">
      <x:c r="A1" s="12" t="str">
        <x:v>Statuses</x:v>
      </x:c>
      <x:c r="B1" s="12" t="str">
        <x:v>Priorities</x:v>
      </x:c>
      <x:c r="C1" s="12" t="str">
        <x:v>Roadmap Priority</x:v>
      </x:c>
      <x:c r="D1" s="12" t="str">
        <x:v>QA Status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Implemented</x:v>
      </x:c>
      <x:c r="B2" s="1" t="str">
        <x:v>P0</x:v>
      </x:c>
      <x:c r="C2" s="1" t="str">
        <x:v>High</x:v>
      </x:c>
      <x:c r="D2" s="1" t="str">
        <x:v>Passed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In Progress</x:v>
      </x:c>
      <x:c r="B3" s="1" t="str">
        <x:v>P1</x:v>
      </x:c>
      <x:c r="C3" s="1" t="str">
        <x:v>Medium</x:v>
      </x:c>
      <x:c r="D3" s="1" t="str">
        <x:v>Passed Demo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Planned</x:v>
      </x:c>
      <x:c r="B4" s="1" t="str">
        <x:v>P2</x:v>
      </x:c>
      <x:c r="C4" s="1" t="str">
        <x:v>Low</x:v>
      </x:c>
      <x:c r="D4" s="1" t="str">
        <x:v>Passed Build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Future</x:v>
      </x:c>
      <x:c r="B5" s="1" t="str">
        <x:v>P3</x:v>
      </x:c>
      <x:c r="C5" s="1" t="str"/>
      <x:c r="D5" s="1" t="str">
        <x:v>Needs Real Pilot Test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Blocked</x:v>
      </x:c>
      <x:c r="B6" s="1" t="str"/>
      <x:c r="C6" s="1" t="str"/>
      <x:c r="D6" s="1" t="str">
        <x:v>Not Run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Deferred</x:v>
      </x:c>
      <x:c r="B7" s="1" t="str"/>
      <x:c r="C7" s="1" t="str"/>
      <x:c r="D7" s="1" t="str">
        <x:v>Blocked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/>
      <x:c r="B8" s="1" t="str"/>
      <x:c r="C8" s="1" t="str"/>
      <x:c r="D8" s="1" t="str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/>
      <x:c r="B9" s="1" t="str"/>
      <x:c r="C9" s="1" t="str"/>
      <x:c r="D9" s="1" t="str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/>
      <x:c r="B10" s="1" t="str"/>
      <x:c r="C10" s="1" t="str"/>
      <x:c r="D10" s="1" t="str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/>
      <x:c r="B11" s="1" t="str"/>
      <x:c r="C11" s="1" t="str"/>
      <x:c r="D11" s="1" t="str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